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Games\UPI Kampus Serang\Tugas\Semester 5\ASIK\"/>
    </mc:Choice>
  </mc:AlternateContent>
  <xr:revisionPtr revIDLastSave="0" documentId="13_ncr:1_{3C7F3A0C-ED52-41CA-9184-29EAFD37112F}" xr6:coauthVersionLast="47" xr6:coauthVersionMax="47" xr10:uidLastSave="{00000000-0000-0000-0000-000000000000}"/>
  <bookViews>
    <workbookView xWindow="-108" yWindow="-108" windowWidth="23256" windowHeight="13176" activeTab="5" xr2:uid="{00000000-000D-0000-FFFF-FFFF00000000}"/>
  </bookViews>
  <sheets>
    <sheet name="2019" sheetId="13" r:id="rId1"/>
    <sheet name="2020" sheetId="4" r:id="rId2"/>
    <sheet name="2021" sheetId="5" r:id="rId3"/>
    <sheet name="2022" sheetId="9" r:id="rId4"/>
    <sheet name="2023" sheetId="10" r:id="rId5"/>
    <sheet name="2024" sheetId="11" r:id="rId6"/>
  </sheets>
  <externalReferences>
    <externalReference r:id="rId7"/>
    <externalReference r:id="rId8"/>
  </externalReferences>
  <definedNames>
    <definedName name="_xlnm.Print_Area" localSheetId="0">'2019'!$A$1:$O$41</definedName>
    <definedName name="_xlnm.Print_Area" localSheetId="1">'2020'!$A$1:$O$41</definedName>
    <definedName name="_xlnm.Print_Area" localSheetId="2">'2021'!$A$1:$O$41</definedName>
    <definedName name="_xlnm.Print_Area" localSheetId="3">'2022'!$A$1:$O$51</definedName>
    <definedName name="_xlnm.Print_Area" localSheetId="4">'2023'!$A$1:$O$51</definedName>
    <definedName name="_xlnm.Print_Area" localSheetId="5">'2024'!$A$1:$O$51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11" l="1"/>
  <c r="O2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C41" i="5"/>
  <c r="D41" i="5"/>
  <c r="E41" i="5"/>
  <c r="F41" i="5"/>
  <c r="G41" i="5"/>
  <c r="H41" i="5"/>
  <c r="I41" i="5"/>
  <c r="J41" i="5"/>
  <c r="K41" i="5"/>
  <c r="L41" i="5"/>
  <c r="M41" i="5"/>
  <c r="N41" i="5"/>
  <c r="N41" i="13"/>
  <c r="M41" i="13"/>
  <c r="L41" i="13"/>
  <c r="K41" i="13"/>
  <c r="J41" i="13"/>
  <c r="I41" i="13"/>
  <c r="H41" i="13"/>
  <c r="G41" i="13"/>
  <c r="F41" i="13"/>
  <c r="E41" i="13"/>
  <c r="D41" i="13"/>
  <c r="C41" i="13"/>
  <c r="O40" i="13"/>
  <c r="B40" i="13"/>
  <c r="O39" i="13"/>
  <c r="B39" i="13"/>
  <c r="O38" i="13"/>
  <c r="B38" i="13"/>
  <c r="O37" i="13"/>
  <c r="B37" i="13"/>
  <c r="O36" i="13"/>
  <c r="B36" i="13"/>
  <c r="O35" i="13"/>
  <c r="B35" i="13"/>
  <c r="O34" i="13"/>
  <c r="B34" i="13"/>
  <c r="O33" i="13"/>
  <c r="B33" i="13"/>
  <c r="O32" i="13"/>
  <c r="B32" i="13"/>
  <c r="O31" i="13"/>
  <c r="B31" i="13"/>
  <c r="O30" i="13"/>
  <c r="B30" i="13"/>
  <c r="O29" i="13"/>
  <c r="B29" i="13"/>
  <c r="O28" i="13"/>
  <c r="B28" i="13"/>
  <c r="O27" i="13"/>
  <c r="O26" i="13"/>
  <c r="B26" i="13"/>
  <c r="O25" i="13"/>
  <c r="B25" i="13"/>
  <c r="O24" i="13"/>
  <c r="B24" i="13"/>
  <c r="O23" i="13"/>
  <c r="B23" i="13"/>
  <c r="O22" i="13"/>
  <c r="B22" i="13"/>
  <c r="O21" i="13"/>
  <c r="B21" i="13"/>
  <c r="O20" i="13"/>
  <c r="B20" i="13"/>
  <c r="O19" i="13"/>
  <c r="B19" i="13"/>
  <c r="O18" i="13"/>
  <c r="B18" i="13"/>
  <c r="O17" i="13"/>
  <c r="B17" i="13"/>
  <c r="O16" i="13"/>
  <c r="B16" i="13"/>
  <c r="O15" i="13"/>
  <c r="B15" i="13"/>
  <c r="O14" i="13"/>
  <c r="O13" i="13"/>
  <c r="B13" i="13"/>
  <c r="O12" i="13"/>
  <c r="B12" i="13"/>
  <c r="O11" i="13"/>
  <c r="B11" i="13"/>
  <c r="O10" i="13"/>
  <c r="B10" i="13"/>
  <c r="O9" i="13"/>
  <c r="B9" i="13"/>
  <c r="O8" i="13"/>
  <c r="B8" i="13"/>
  <c r="O7" i="13"/>
  <c r="B7" i="13"/>
  <c r="O6" i="13"/>
  <c r="B6" i="13"/>
  <c r="O5" i="13"/>
  <c r="B5" i="13"/>
  <c r="O4" i="13"/>
  <c r="O3" i="13"/>
  <c r="B3" i="13"/>
  <c r="O2" i="13"/>
  <c r="B2" i="13"/>
  <c r="O41" i="5" l="1"/>
  <c r="O41" i="13"/>
  <c r="O3" i="11" l="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O34" i="11"/>
  <c r="O35" i="11"/>
  <c r="O36" i="11"/>
  <c r="O37" i="11"/>
  <c r="O38" i="11"/>
  <c r="O39" i="11"/>
  <c r="O40" i="11"/>
  <c r="O41" i="11"/>
  <c r="O42" i="11"/>
  <c r="O43" i="11"/>
  <c r="O44" i="11"/>
  <c r="O45" i="11"/>
  <c r="O46" i="11"/>
  <c r="O47" i="11"/>
  <c r="O48" i="11"/>
  <c r="O49" i="11"/>
  <c r="O50" i="11"/>
  <c r="N51" i="11"/>
  <c r="D51" i="11"/>
  <c r="E51" i="11"/>
  <c r="F51" i="11"/>
  <c r="G51" i="11"/>
  <c r="H51" i="11"/>
  <c r="I51" i="11"/>
  <c r="J51" i="11"/>
  <c r="K51" i="11"/>
  <c r="L51" i="11"/>
  <c r="M51" i="11"/>
  <c r="C51" i="11"/>
  <c r="O51" i="11" l="1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46" i="10"/>
  <c r="O47" i="10"/>
  <c r="O48" i="10"/>
  <c r="O49" i="10"/>
  <c r="O50" i="10"/>
  <c r="O2" i="10"/>
  <c r="N51" i="10" l="1"/>
  <c r="M51" i="10"/>
  <c r="L51" i="10"/>
  <c r="K51" i="10"/>
  <c r="J51" i="10"/>
  <c r="I51" i="10"/>
  <c r="H51" i="10"/>
  <c r="G51" i="10"/>
  <c r="F51" i="10"/>
  <c r="E51" i="10"/>
  <c r="D51" i="10"/>
  <c r="C51" i="10"/>
  <c r="O51" i="10" l="1"/>
  <c r="N50" i="9"/>
  <c r="M50" i="9"/>
  <c r="L50" i="9"/>
  <c r="K50" i="9"/>
  <c r="J50" i="9"/>
  <c r="I50" i="9"/>
  <c r="H50" i="9"/>
  <c r="G50" i="9"/>
  <c r="F50" i="9"/>
  <c r="E50" i="9"/>
  <c r="D50" i="9"/>
  <c r="C50" i="9"/>
  <c r="B50" i="9"/>
  <c r="N49" i="9"/>
  <c r="M49" i="9"/>
  <c r="L49" i="9"/>
  <c r="K49" i="9"/>
  <c r="J49" i="9"/>
  <c r="I49" i="9"/>
  <c r="H49" i="9"/>
  <c r="G49" i="9"/>
  <c r="F49" i="9"/>
  <c r="E49" i="9"/>
  <c r="D49" i="9"/>
  <c r="C49" i="9"/>
  <c r="B49" i="9"/>
  <c r="N48" i="9"/>
  <c r="M48" i="9"/>
  <c r="L48" i="9"/>
  <c r="K48" i="9"/>
  <c r="J48" i="9"/>
  <c r="I48" i="9"/>
  <c r="H48" i="9"/>
  <c r="G48" i="9"/>
  <c r="F48" i="9"/>
  <c r="E48" i="9"/>
  <c r="D48" i="9"/>
  <c r="C48" i="9"/>
  <c r="B48" i="9"/>
  <c r="N47" i="9"/>
  <c r="M47" i="9"/>
  <c r="L47" i="9"/>
  <c r="K47" i="9"/>
  <c r="J47" i="9"/>
  <c r="I47" i="9"/>
  <c r="H47" i="9"/>
  <c r="G47" i="9"/>
  <c r="F47" i="9"/>
  <c r="E47" i="9"/>
  <c r="D47" i="9"/>
  <c r="C47" i="9"/>
  <c r="B47" i="9"/>
  <c r="N46" i="9"/>
  <c r="M46" i="9"/>
  <c r="L46" i="9"/>
  <c r="K46" i="9"/>
  <c r="J46" i="9"/>
  <c r="I46" i="9"/>
  <c r="H46" i="9"/>
  <c r="G46" i="9"/>
  <c r="F46" i="9"/>
  <c r="E46" i="9"/>
  <c r="D46" i="9"/>
  <c r="C46" i="9"/>
  <c r="B46" i="9"/>
  <c r="N45" i="9"/>
  <c r="M45" i="9"/>
  <c r="L45" i="9"/>
  <c r="K45" i="9"/>
  <c r="J45" i="9"/>
  <c r="I45" i="9"/>
  <c r="H45" i="9"/>
  <c r="G45" i="9"/>
  <c r="F45" i="9"/>
  <c r="E45" i="9"/>
  <c r="D45" i="9"/>
  <c r="C45" i="9"/>
  <c r="B45" i="9"/>
  <c r="N44" i="9"/>
  <c r="M44" i="9"/>
  <c r="L44" i="9"/>
  <c r="K44" i="9"/>
  <c r="J44" i="9"/>
  <c r="I44" i="9"/>
  <c r="H44" i="9"/>
  <c r="G44" i="9"/>
  <c r="F44" i="9"/>
  <c r="E44" i="9"/>
  <c r="D44" i="9"/>
  <c r="C44" i="9"/>
  <c r="B44" i="9"/>
  <c r="N43" i="9"/>
  <c r="M43" i="9"/>
  <c r="L43" i="9"/>
  <c r="K43" i="9"/>
  <c r="J43" i="9"/>
  <c r="I43" i="9"/>
  <c r="H43" i="9"/>
  <c r="G43" i="9"/>
  <c r="F43" i="9"/>
  <c r="E43" i="9"/>
  <c r="D43" i="9"/>
  <c r="C43" i="9"/>
  <c r="B43" i="9"/>
  <c r="N42" i="9"/>
  <c r="M42" i="9"/>
  <c r="L42" i="9"/>
  <c r="K42" i="9"/>
  <c r="J42" i="9"/>
  <c r="I42" i="9"/>
  <c r="H42" i="9"/>
  <c r="G42" i="9"/>
  <c r="F42" i="9"/>
  <c r="E42" i="9"/>
  <c r="D42" i="9"/>
  <c r="C42" i="9"/>
  <c r="B42" i="9"/>
  <c r="N41" i="9"/>
  <c r="M41" i="9"/>
  <c r="L41" i="9"/>
  <c r="K41" i="9"/>
  <c r="J41" i="9"/>
  <c r="I41" i="9"/>
  <c r="H41" i="9"/>
  <c r="G41" i="9"/>
  <c r="F41" i="9"/>
  <c r="E41" i="9"/>
  <c r="D41" i="9"/>
  <c r="C41" i="9"/>
  <c r="B41" i="9"/>
  <c r="N40" i="9"/>
  <c r="M40" i="9"/>
  <c r="L40" i="9"/>
  <c r="K40" i="9"/>
  <c r="J40" i="9"/>
  <c r="I40" i="9"/>
  <c r="H40" i="9"/>
  <c r="G40" i="9"/>
  <c r="F40" i="9"/>
  <c r="E40" i="9"/>
  <c r="D40" i="9"/>
  <c r="C40" i="9"/>
  <c r="B40" i="9"/>
  <c r="N39" i="9"/>
  <c r="M39" i="9"/>
  <c r="L39" i="9"/>
  <c r="K39" i="9"/>
  <c r="J39" i="9"/>
  <c r="I39" i="9"/>
  <c r="H39" i="9"/>
  <c r="G39" i="9"/>
  <c r="F39" i="9"/>
  <c r="E39" i="9"/>
  <c r="D39" i="9"/>
  <c r="C39" i="9"/>
  <c r="B39" i="9"/>
  <c r="N38" i="9"/>
  <c r="M38" i="9"/>
  <c r="L38" i="9"/>
  <c r="K38" i="9"/>
  <c r="J38" i="9"/>
  <c r="I38" i="9"/>
  <c r="H38" i="9"/>
  <c r="G38" i="9"/>
  <c r="F38" i="9"/>
  <c r="E38" i="9"/>
  <c r="D38" i="9"/>
  <c r="C38" i="9"/>
  <c r="B38" i="9"/>
  <c r="N37" i="9"/>
  <c r="M37" i="9"/>
  <c r="L37" i="9"/>
  <c r="K37" i="9"/>
  <c r="J37" i="9"/>
  <c r="I37" i="9"/>
  <c r="H37" i="9"/>
  <c r="G37" i="9"/>
  <c r="F37" i="9"/>
  <c r="E37" i="9"/>
  <c r="D37" i="9"/>
  <c r="C37" i="9"/>
  <c r="B37" i="9"/>
  <c r="N36" i="9"/>
  <c r="M36" i="9"/>
  <c r="L36" i="9"/>
  <c r="K36" i="9"/>
  <c r="J36" i="9"/>
  <c r="I36" i="9"/>
  <c r="H36" i="9"/>
  <c r="G36" i="9"/>
  <c r="F36" i="9"/>
  <c r="E36" i="9"/>
  <c r="D36" i="9"/>
  <c r="C36" i="9"/>
  <c r="B36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N33" i="9"/>
  <c r="M33" i="9"/>
  <c r="L33" i="9"/>
  <c r="K33" i="9"/>
  <c r="J33" i="9"/>
  <c r="I33" i="9"/>
  <c r="H33" i="9"/>
  <c r="G33" i="9"/>
  <c r="F33" i="9"/>
  <c r="E33" i="9"/>
  <c r="D33" i="9"/>
  <c r="C33" i="9"/>
  <c r="B33" i="9"/>
  <c r="N32" i="9"/>
  <c r="M32" i="9"/>
  <c r="L32" i="9"/>
  <c r="K32" i="9"/>
  <c r="J32" i="9"/>
  <c r="I32" i="9"/>
  <c r="H32" i="9"/>
  <c r="G32" i="9"/>
  <c r="F32" i="9"/>
  <c r="E32" i="9"/>
  <c r="D32" i="9"/>
  <c r="C32" i="9"/>
  <c r="B32" i="9"/>
  <c r="N31" i="9"/>
  <c r="M31" i="9"/>
  <c r="L31" i="9"/>
  <c r="K31" i="9"/>
  <c r="J31" i="9"/>
  <c r="I31" i="9"/>
  <c r="H31" i="9"/>
  <c r="G31" i="9"/>
  <c r="F31" i="9"/>
  <c r="E31" i="9"/>
  <c r="D31" i="9"/>
  <c r="C31" i="9"/>
  <c r="B31" i="9"/>
  <c r="N30" i="9"/>
  <c r="M30" i="9"/>
  <c r="L30" i="9"/>
  <c r="K30" i="9"/>
  <c r="J30" i="9"/>
  <c r="I30" i="9"/>
  <c r="H30" i="9"/>
  <c r="G30" i="9"/>
  <c r="F30" i="9"/>
  <c r="E30" i="9"/>
  <c r="D30" i="9"/>
  <c r="C30" i="9"/>
  <c r="B30" i="9"/>
  <c r="N29" i="9"/>
  <c r="M29" i="9"/>
  <c r="L29" i="9"/>
  <c r="K29" i="9"/>
  <c r="J29" i="9"/>
  <c r="I29" i="9"/>
  <c r="H29" i="9"/>
  <c r="G29" i="9"/>
  <c r="F29" i="9"/>
  <c r="E29" i="9"/>
  <c r="D29" i="9"/>
  <c r="C29" i="9"/>
  <c r="B29" i="9"/>
  <c r="N28" i="9"/>
  <c r="M28" i="9"/>
  <c r="L28" i="9"/>
  <c r="K28" i="9"/>
  <c r="J28" i="9"/>
  <c r="I28" i="9"/>
  <c r="H28" i="9"/>
  <c r="G28" i="9"/>
  <c r="F28" i="9"/>
  <c r="E28" i="9"/>
  <c r="D28" i="9"/>
  <c r="C28" i="9"/>
  <c r="B28" i="9"/>
  <c r="N27" i="9"/>
  <c r="M27" i="9"/>
  <c r="L27" i="9"/>
  <c r="K27" i="9"/>
  <c r="J27" i="9"/>
  <c r="I27" i="9"/>
  <c r="H27" i="9"/>
  <c r="G27" i="9"/>
  <c r="F27" i="9"/>
  <c r="E27" i="9"/>
  <c r="D27" i="9"/>
  <c r="C27" i="9"/>
  <c r="B27" i="9"/>
  <c r="N26" i="9"/>
  <c r="M26" i="9"/>
  <c r="L26" i="9"/>
  <c r="K26" i="9"/>
  <c r="J26" i="9"/>
  <c r="I26" i="9"/>
  <c r="H26" i="9"/>
  <c r="G26" i="9"/>
  <c r="F26" i="9"/>
  <c r="E26" i="9"/>
  <c r="D26" i="9"/>
  <c r="C26" i="9"/>
  <c r="B26" i="9"/>
  <c r="N25" i="9"/>
  <c r="M25" i="9"/>
  <c r="L25" i="9"/>
  <c r="K25" i="9"/>
  <c r="J25" i="9"/>
  <c r="I25" i="9"/>
  <c r="H25" i="9"/>
  <c r="G25" i="9"/>
  <c r="F25" i="9"/>
  <c r="E25" i="9"/>
  <c r="D25" i="9"/>
  <c r="C25" i="9"/>
  <c r="B25" i="9"/>
  <c r="N24" i="9"/>
  <c r="M24" i="9"/>
  <c r="L24" i="9"/>
  <c r="K24" i="9"/>
  <c r="J24" i="9"/>
  <c r="I24" i="9"/>
  <c r="H24" i="9"/>
  <c r="G24" i="9"/>
  <c r="F24" i="9"/>
  <c r="E24" i="9"/>
  <c r="D24" i="9"/>
  <c r="C24" i="9"/>
  <c r="B24" i="9"/>
  <c r="N23" i="9"/>
  <c r="M23" i="9"/>
  <c r="L23" i="9"/>
  <c r="K23" i="9"/>
  <c r="J23" i="9"/>
  <c r="I23" i="9"/>
  <c r="H23" i="9"/>
  <c r="G23" i="9"/>
  <c r="F23" i="9"/>
  <c r="E23" i="9"/>
  <c r="D23" i="9"/>
  <c r="C23" i="9"/>
  <c r="B23" i="9"/>
  <c r="N22" i="9"/>
  <c r="M22" i="9"/>
  <c r="L22" i="9"/>
  <c r="K22" i="9"/>
  <c r="J22" i="9"/>
  <c r="I22" i="9"/>
  <c r="H22" i="9"/>
  <c r="G22" i="9"/>
  <c r="F22" i="9"/>
  <c r="E22" i="9"/>
  <c r="D22" i="9"/>
  <c r="C22" i="9"/>
  <c r="B22" i="9"/>
  <c r="N21" i="9"/>
  <c r="M21" i="9"/>
  <c r="L21" i="9"/>
  <c r="K21" i="9"/>
  <c r="J21" i="9"/>
  <c r="I21" i="9"/>
  <c r="H21" i="9"/>
  <c r="G21" i="9"/>
  <c r="F21" i="9"/>
  <c r="E21" i="9"/>
  <c r="D21" i="9"/>
  <c r="C21" i="9"/>
  <c r="B21" i="9"/>
  <c r="N20" i="9"/>
  <c r="M20" i="9"/>
  <c r="L20" i="9"/>
  <c r="K20" i="9"/>
  <c r="J20" i="9"/>
  <c r="I20" i="9"/>
  <c r="H20" i="9"/>
  <c r="G20" i="9"/>
  <c r="F20" i="9"/>
  <c r="E20" i="9"/>
  <c r="D20" i="9"/>
  <c r="C20" i="9"/>
  <c r="B20" i="9"/>
  <c r="N19" i="9"/>
  <c r="M19" i="9"/>
  <c r="L19" i="9"/>
  <c r="K19" i="9"/>
  <c r="J19" i="9"/>
  <c r="I19" i="9"/>
  <c r="H19" i="9"/>
  <c r="G19" i="9"/>
  <c r="F19" i="9"/>
  <c r="E19" i="9"/>
  <c r="D19" i="9"/>
  <c r="C19" i="9"/>
  <c r="B19" i="9"/>
  <c r="N18" i="9"/>
  <c r="M18" i="9"/>
  <c r="L18" i="9"/>
  <c r="K18" i="9"/>
  <c r="J18" i="9"/>
  <c r="I18" i="9"/>
  <c r="H18" i="9"/>
  <c r="G18" i="9"/>
  <c r="F18" i="9"/>
  <c r="E18" i="9"/>
  <c r="D18" i="9"/>
  <c r="C18" i="9"/>
  <c r="B18" i="9"/>
  <c r="N17" i="9"/>
  <c r="M17" i="9"/>
  <c r="L17" i="9"/>
  <c r="K17" i="9"/>
  <c r="J17" i="9"/>
  <c r="I17" i="9"/>
  <c r="H17" i="9"/>
  <c r="G17" i="9"/>
  <c r="F17" i="9"/>
  <c r="E17" i="9"/>
  <c r="D17" i="9"/>
  <c r="C17" i="9"/>
  <c r="B17" i="9"/>
  <c r="N16" i="9"/>
  <c r="M16" i="9"/>
  <c r="L16" i="9"/>
  <c r="K16" i="9"/>
  <c r="J16" i="9"/>
  <c r="I16" i="9"/>
  <c r="H16" i="9"/>
  <c r="G16" i="9"/>
  <c r="F16" i="9"/>
  <c r="E16" i="9"/>
  <c r="D16" i="9"/>
  <c r="C16" i="9"/>
  <c r="B16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N14" i="9"/>
  <c r="M14" i="9"/>
  <c r="L14" i="9"/>
  <c r="K14" i="9"/>
  <c r="J14" i="9"/>
  <c r="I14" i="9"/>
  <c r="H14" i="9"/>
  <c r="G14" i="9"/>
  <c r="F14" i="9"/>
  <c r="E14" i="9"/>
  <c r="D14" i="9"/>
  <c r="C14" i="9"/>
  <c r="B14" i="9"/>
  <c r="N13" i="9"/>
  <c r="M13" i="9"/>
  <c r="L13" i="9"/>
  <c r="K13" i="9"/>
  <c r="J13" i="9"/>
  <c r="I13" i="9"/>
  <c r="H13" i="9"/>
  <c r="G13" i="9"/>
  <c r="F13" i="9"/>
  <c r="E13" i="9"/>
  <c r="D13" i="9"/>
  <c r="C13" i="9"/>
  <c r="B13" i="9"/>
  <c r="N12" i="9"/>
  <c r="M12" i="9"/>
  <c r="L12" i="9"/>
  <c r="K12" i="9"/>
  <c r="J12" i="9"/>
  <c r="I12" i="9"/>
  <c r="H12" i="9"/>
  <c r="G12" i="9"/>
  <c r="F12" i="9"/>
  <c r="E12" i="9"/>
  <c r="D12" i="9"/>
  <c r="C12" i="9"/>
  <c r="B12" i="9"/>
  <c r="N11" i="9"/>
  <c r="M11" i="9"/>
  <c r="L11" i="9"/>
  <c r="K11" i="9"/>
  <c r="J11" i="9"/>
  <c r="I11" i="9"/>
  <c r="H11" i="9"/>
  <c r="G11" i="9"/>
  <c r="F11" i="9"/>
  <c r="E11" i="9"/>
  <c r="D11" i="9"/>
  <c r="C11" i="9"/>
  <c r="B11" i="9"/>
  <c r="N10" i="9"/>
  <c r="M10" i="9"/>
  <c r="L10" i="9"/>
  <c r="K10" i="9"/>
  <c r="J10" i="9"/>
  <c r="I10" i="9"/>
  <c r="H10" i="9"/>
  <c r="G10" i="9"/>
  <c r="F10" i="9"/>
  <c r="E10" i="9"/>
  <c r="D10" i="9"/>
  <c r="C10" i="9"/>
  <c r="B10" i="9"/>
  <c r="N9" i="9"/>
  <c r="M9" i="9"/>
  <c r="L9" i="9"/>
  <c r="K9" i="9"/>
  <c r="J9" i="9"/>
  <c r="I9" i="9"/>
  <c r="H9" i="9"/>
  <c r="G9" i="9"/>
  <c r="F9" i="9"/>
  <c r="E9" i="9"/>
  <c r="D9" i="9"/>
  <c r="C9" i="9"/>
  <c r="B9" i="9"/>
  <c r="N8" i="9"/>
  <c r="M8" i="9"/>
  <c r="L8" i="9"/>
  <c r="K8" i="9"/>
  <c r="J8" i="9"/>
  <c r="I8" i="9"/>
  <c r="H8" i="9"/>
  <c r="G8" i="9"/>
  <c r="F8" i="9"/>
  <c r="E8" i="9"/>
  <c r="D8" i="9"/>
  <c r="C8" i="9"/>
  <c r="B8" i="9"/>
  <c r="N7" i="9"/>
  <c r="M7" i="9"/>
  <c r="L7" i="9"/>
  <c r="K7" i="9"/>
  <c r="J7" i="9"/>
  <c r="I7" i="9"/>
  <c r="H7" i="9"/>
  <c r="G7" i="9"/>
  <c r="F7" i="9"/>
  <c r="E7" i="9"/>
  <c r="D7" i="9"/>
  <c r="C7" i="9"/>
  <c r="B7" i="9"/>
  <c r="N6" i="9"/>
  <c r="M6" i="9"/>
  <c r="L6" i="9"/>
  <c r="K6" i="9"/>
  <c r="J6" i="9"/>
  <c r="I6" i="9"/>
  <c r="H6" i="9"/>
  <c r="G6" i="9"/>
  <c r="F6" i="9"/>
  <c r="E6" i="9"/>
  <c r="D6" i="9"/>
  <c r="C6" i="9"/>
  <c r="B6" i="9"/>
  <c r="N5" i="9"/>
  <c r="M5" i="9"/>
  <c r="L5" i="9"/>
  <c r="K5" i="9"/>
  <c r="J5" i="9"/>
  <c r="I5" i="9"/>
  <c r="H5" i="9"/>
  <c r="G5" i="9"/>
  <c r="F5" i="9"/>
  <c r="E5" i="9"/>
  <c r="D5" i="9"/>
  <c r="C5" i="9"/>
  <c r="B5" i="9"/>
  <c r="N4" i="9"/>
  <c r="M4" i="9"/>
  <c r="L4" i="9"/>
  <c r="K4" i="9"/>
  <c r="J4" i="9"/>
  <c r="I4" i="9"/>
  <c r="H4" i="9"/>
  <c r="G4" i="9"/>
  <c r="F4" i="9"/>
  <c r="E4" i="9"/>
  <c r="D4" i="9"/>
  <c r="C4" i="9"/>
  <c r="B4" i="9"/>
  <c r="N3" i="9"/>
  <c r="M3" i="9"/>
  <c r="L3" i="9"/>
  <c r="K3" i="9"/>
  <c r="J3" i="9"/>
  <c r="I3" i="9"/>
  <c r="H3" i="9"/>
  <c r="G3" i="9"/>
  <c r="F3" i="9"/>
  <c r="E3" i="9"/>
  <c r="D3" i="9"/>
  <c r="C3" i="9"/>
  <c r="B3" i="9"/>
  <c r="N2" i="9"/>
  <c r="M2" i="9"/>
  <c r="L2" i="9"/>
  <c r="K2" i="9"/>
  <c r="J2" i="9"/>
  <c r="I2" i="9"/>
  <c r="H2" i="9"/>
  <c r="G2" i="9"/>
  <c r="F2" i="9"/>
  <c r="E2" i="9"/>
  <c r="D2" i="9"/>
  <c r="C2" i="9"/>
  <c r="B2" i="9"/>
  <c r="E41" i="4"/>
  <c r="D3" i="4"/>
  <c r="D41" i="4" s="1"/>
  <c r="O40" i="4"/>
  <c r="M39" i="4"/>
  <c r="O39" i="4" s="1"/>
  <c r="N38" i="4"/>
  <c r="O38" i="4" s="1"/>
  <c r="K37" i="4"/>
  <c r="O37" i="4" s="1"/>
  <c r="N36" i="4"/>
  <c r="O36" i="4" s="1"/>
  <c r="J35" i="4"/>
  <c r="O35" i="4" s="1"/>
  <c r="O34" i="4"/>
  <c r="L33" i="4"/>
  <c r="O33" i="4" s="1"/>
  <c r="I32" i="4"/>
  <c r="O32" i="4" s="1"/>
  <c r="M31" i="4"/>
  <c r="O31" i="4" s="1"/>
  <c r="G30" i="4"/>
  <c r="O30" i="4" s="1"/>
  <c r="J29" i="4"/>
  <c r="O29" i="4" s="1"/>
  <c r="K28" i="4"/>
  <c r="O28" i="4" s="1"/>
  <c r="O27" i="4"/>
  <c r="F26" i="4"/>
  <c r="O26" i="4" s="1"/>
  <c r="N25" i="4"/>
  <c r="O25" i="4" s="1"/>
  <c r="O24" i="4"/>
  <c r="O23" i="4"/>
  <c r="L22" i="4"/>
  <c r="O22" i="4" s="1"/>
  <c r="G21" i="4"/>
  <c r="O21" i="4" s="1"/>
  <c r="N20" i="4"/>
  <c r="O20" i="4" s="1"/>
  <c r="K19" i="4"/>
  <c r="O19" i="4" s="1"/>
  <c r="I18" i="4"/>
  <c r="O18" i="4" s="1"/>
  <c r="K17" i="4"/>
  <c r="O17" i="4" s="1"/>
  <c r="M16" i="4"/>
  <c r="H16" i="4"/>
  <c r="G15" i="4"/>
  <c r="O15" i="4" s="1"/>
  <c r="N14" i="4"/>
  <c r="J14" i="4"/>
  <c r="J13" i="4"/>
  <c r="O13" i="4" s="1"/>
  <c r="M12" i="4"/>
  <c r="L12" i="4"/>
  <c r="L11" i="4"/>
  <c r="O11" i="4" s="1"/>
  <c r="F10" i="4"/>
  <c r="J10" i="4"/>
  <c r="F9" i="4"/>
  <c r="O9" i="4" s="1"/>
  <c r="J8" i="4"/>
  <c r="O8" i="4" s="1"/>
  <c r="O7" i="4"/>
  <c r="G6" i="4"/>
  <c r="O6" i="4" s="1"/>
  <c r="O5" i="4"/>
  <c r="G4" i="4"/>
  <c r="C4" i="4"/>
  <c r="O4" i="4" s="1"/>
  <c r="N3" i="4"/>
  <c r="N2" i="4"/>
  <c r="J2" i="4"/>
  <c r="H2" i="4"/>
  <c r="H41" i="4" s="1"/>
  <c r="O16" i="4" l="1"/>
  <c r="F41" i="4"/>
  <c r="J41" i="4"/>
  <c r="M41" i="4"/>
  <c r="O2" i="4"/>
  <c r="O12" i="4"/>
  <c r="G41" i="4"/>
  <c r="O14" i="4"/>
  <c r="N41" i="4"/>
  <c r="K41" i="4"/>
  <c r="O10" i="4"/>
  <c r="N51" i="9"/>
  <c r="C51" i="9"/>
  <c r="O4" i="9"/>
  <c r="O9" i="9"/>
  <c r="O15" i="9"/>
  <c r="O19" i="9"/>
  <c r="O24" i="9"/>
  <c r="O26" i="9"/>
  <c r="O32" i="9"/>
  <c r="O33" i="9"/>
  <c r="O40" i="9"/>
  <c r="O47" i="9"/>
  <c r="O46" i="9"/>
  <c r="O17" i="9"/>
  <c r="L51" i="9"/>
  <c r="O5" i="9"/>
  <c r="O7" i="9"/>
  <c r="O20" i="9"/>
  <c r="O30" i="9"/>
  <c r="O37" i="9"/>
  <c r="O49" i="9"/>
  <c r="O50" i="9"/>
  <c r="O3" i="9"/>
  <c r="O13" i="9"/>
  <c r="O44" i="9"/>
  <c r="O36" i="9"/>
  <c r="O22" i="9"/>
  <c r="O35" i="9"/>
  <c r="O12" i="9"/>
  <c r="O25" i="9"/>
  <c r="O34" i="9"/>
  <c r="F51" i="9"/>
  <c r="O45" i="9"/>
  <c r="I51" i="9"/>
  <c r="H51" i="9"/>
  <c r="O48" i="9"/>
  <c r="J51" i="9"/>
  <c r="O8" i="9"/>
  <c r="O18" i="9"/>
  <c r="O38" i="9"/>
  <c r="D51" i="9"/>
  <c r="O43" i="9"/>
  <c r="O14" i="9"/>
  <c r="O6" i="9"/>
  <c r="K51" i="9"/>
  <c r="O10" i="9"/>
  <c r="O21" i="9"/>
  <c r="O29" i="9"/>
  <c r="O39" i="9"/>
  <c r="M51" i="9"/>
  <c r="O11" i="9"/>
  <c r="O23" i="9"/>
  <c r="O31" i="9"/>
  <c r="O41" i="9"/>
  <c r="O42" i="9"/>
  <c r="E51" i="9"/>
  <c r="O27" i="9"/>
  <c r="G51" i="9"/>
  <c r="O16" i="9"/>
  <c r="O28" i="9"/>
  <c r="L41" i="4"/>
  <c r="O2" i="9"/>
  <c r="O3" i="4"/>
  <c r="I41" i="4"/>
  <c r="C41" i="4"/>
  <c r="O51" i="9" l="1"/>
  <c r="O41" i="4"/>
</calcChain>
</file>

<file path=xl/sharedStrings.xml><?xml version="1.0" encoding="utf-8"?>
<sst xmlns="http://schemas.openxmlformats.org/spreadsheetml/2006/main" count="539" uniqueCount="129">
  <si>
    <t>Cakalang</t>
  </si>
  <si>
    <t>Cendro</t>
  </si>
  <si>
    <t xml:space="preserve">Gulamah </t>
  </si>
  <si>
    <t>Japuh</t>
  </si>
  <si>
    <t>Kakap Merah</t>
  </si>
  <si>
    <t>Kembung</t>
  </si>
  <si>
    <t>Kerapu</t>
  </si>
  <si>
    <t>Kurisi</t>
  </si>
  <si>
    <t>Layaran</t>
  </si>
  <si>
    <t>Layur</t>
  </si>
  <si>
    <t>Lemadang</t>
  </si>
  <si>
    <t>Selar Kuning</t>
  </si>
  <si>
    <t>Swanggi</t>
  </si>
  <si>
    <t>Tambakan</t>
  </si>
  <si>
    <t>Tembang</t>
  </si>
  <si>
    <t>Tenggiri</t>
  </si>
  <si>
    <t>Tongkol Banyar</t>
  </si>
  <si>
    <t>Teri</t>
  </si>
  <si>
    <t>Tuna Mata Besar</t>
  </si>
  <si>
    <t>Tuna Sirip Kuning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</si>
  <si>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</si>
  <si>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</si>
  <si>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</si>
  <si>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</si>
  <si>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</si>
  <si>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</si>
  <si>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</si>
  <si>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</si>
  <si>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</si>
  <si>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</si>
  <si>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Bawal laut</t>
  </si>
  <si>
    <t>Jenaha</t>
  </si>
  <si>
    <t>Manyung</t>
  </si>
  <si>
    <t>Alu Alu/baracuda</t>
  </si>
  <si>
    <t>Ayam ayam</t>
  </si>
  <si>
    <t>Bentong</t>
  </si>
  <si>
    <t>Cucut</t>
  </si>
  <si>
    <t>Ekor kuning/Pisang-pisang/sunglir/salem</t>
  </si>
  <si>
    <t>Golok golok</t>
  </si>
  <si>
    <t>Gulamah/Tigawaja/Samgeh</t>
  </si>
  <si>
    <t>ikan pedang</t>
  </si>
  <si>
    <t>Ikan sebelah</t>
  </si>
  <si>
    <t>Kapas kapas</t>
  </si>
  <si>
    <t>kuwe</t>
  </si>
  <si>
    <t>Kuniran/biji nangka</t>
  </si>
  <si>
    <t>Laosan</t>
  </si>
  <si>
    <t>Layang</t>
  </si>
  <si>
    <t>layaran</t>
  </si>
  <si>
    <t>Marlin</t>
  </si>
  <si>
    <t>Pari</t>
  </si>
  <si>
    <t>Peperek</t>
  </si>
  <si>
    <t>Selar</t>
  </si>
  <si>
    <t>Tetengkek</t>
  </si>
  <si>
    <t>Tongkol</t>
  </si>
  <si>
    <t>Ayam-ayam</t>
  </si>
  <si>
    <t>Bawal Laut</t>
  </si>
  <si>
    <t xml:space="preserve">Cakalang </t>
  </si>
  <si>
    <t xml:space="preserve">Cendro </t>
  </si>
  <si>
    <t xml:space="preserve">Ekor Kuning </t>
  </si>
  <si>
    <t xml:space="preserve">Gabus Laut </t>
  </si>
  <si>
    <t xml:space="preserve">Gerot-gerot </t>
  </si>
  <si>
    <t xml:space="preserve">Golok-golok </t>
  </si>
  <si>
    <t xml:space="preserve">Kakap </t>
  </si>
  <si>
    <t xml:space="preserve">Kakap Batu </t>
  </si>
  <si>
    <t xml:space="preserve">Kakap Jenaha </t>
  </si>
  <si>
    <t xml:space="preserve">Kakap Merah </t>
  </si>
  <si>
    <t xml:space="preserve">Kapas-kapas </t>
  </si>
  <si>
    <t xml:space="preserve">Kembung Lelaki </t>
  </si>
  <si>
    <t xml:space="preserve">Kembung Perempuan </t>
  </si>
  <si>
    <t>Kuniran</t>
  </si>
  <si>
    <t xml:space="preserve">Kurisi </t>
  </si>
  <si>
    <t>Kuro</t>
  </si>
  <si>
    <t xml:space="preserve">Kuwe </t>
  </si>
  <si>
    <t xml:space="preserve">Kuwe Gerong </t>
  </si>
  <si>
    <t xml:space="preserve">Layang </t>
  </si>
  <si>
    <t xml:space="preserve">Layaran </t>
  </si>
  <si>
    <t xml:space="preserve">Layur </t>
  </si>
  <si>
    <t xml:space="preserve">Lemadang </t>
  </si>
  <si>
    <t xml:space="preserve">Lencam </t>
  </si>
  <si>
    <t xml:space="preserve">Nyunglas </t>
  </si>
  <si>
    <t xml:space="preserve">Pedang </t>
  </si>
  <si>
    <t xml:space="preserve">Pinjalo </t>
  </si>
  <si>
    <t xml:space="preserve">Pisang-pisang </t>
  </si>
  <si>
    <t xml:space="preserve">Sebelah </t>
  </si>
  <si>
    <t xml:space="preserve">Selar Bentong </t>
  </si>
  <si>
    <t xml:space="preserve">Selar Kuning </t>
  </si>
  <si>
    <t xml:space="preserve">Swanggi </t>
  </si>
  <si>
    <t xml:space="preserve">Tenggiri </t>
  </si>
  <si>
    <t xml:space="preserve">Tenggiri Papan </t>
  </si>
  <si>
    <t xml:space="preserve">Tetengkek </t>
  </si>
  <si>
    <t xml:space="preserve">Tongkol </t>
  </si>
  <si>
    <t xml:space="preserve">Tongkol Abu-abu </t>
  </si>
  <si>
    <t xml:space="preserve">Tongkol Banyar </t>
  </si>
  <si>
    <t xml:space="preserve">Tongkol Komo </t>
  </si>
  <si>
    <t xml:space="preserve">Tongkol Lisong </t>
  </si>
  <si>
    <t xml:space="preserve">Tuna Mata Besar </t>
  </si>
  <si>
    <t>November</t>
  </si>
  <si>
    <t>Desember</t>
  </si>
  <si>
    <t>Ekor kuning</t>
  </si>
  <si>
    <t>Gabus Laut</t>
  </si>
  <si>
    <t>Gerot Gerot</t>
  </si>
  <si>
    <t>Kakap</t>
  </si>
  <si>
    <t>Kakap Batu</t>
  </si>
  <si>
    <t>Kakap Jenaha</t>
  </si>
  <si>
    <t>Kapas kapas/Bagas</t>
  </si>
  <si>
    <t>Kembung Lelaki</t>
  </si>
  <si>
    <t>Kembung Perempuan</t>
  </si>
  <si>
    <t>Kuro/Senangin/laosan</t>
  </si>
  <si>
    <t>Kuwe</t>
  </si>
  <si>
    <t>Kuwe gerong</t>
  </si>
  <si>
    <t>Lencam</t>
  </si>
  <si>
    <t>Nyunglas</t>
  </si>
  <si>
    <t>Pedang</t>
  </si>
  <si>
    <t>Pinjalo</t>
  </si>
  <si>
    <t>Pisang-pisang</t>
  </si>
  <si>
    <t>Sebelah</t>
  </si>
  <si>
    <t>Selar Bentong</t>
  </si>
  <si>
    <t>Tenggiri Papan</t>
  </si>
  <si>
    <t>Tongkol Abu-Abu</t>
  </si>
  <si>
    <t>Tongkol Komo</t>
  </si>
  <si>
    <t>Tongkol Lisong</t>
  </si>
  <si>
    <t>Pelagis Besar</t>
  </si>
  <si>
    <t>Karang (Reef-Associated)</t>
  </si>
  <si>
    <t>Pelagis Kecil</t>
  </si>
  <si>
    <t>Demersal</t>
  </si>
  <si>
    <t>jumlah</t>
  </si>
  <si>
    <t>jenis_ikan</t>
  </si>
  <si>
    <t>nama_ikan</t>
  </si>
  <si>
    <t>Jumlah_kg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</si>
</sst>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</numFmts>
  <fonts count="12" x14ac:knownFonts="1">
    <font>
      <sz val="11"/>
      <color theme="1"/>
      <name val="Calibri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sz val="9"/>
      <name val="Calibri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u val="singleAccounting"/>
      <sz val="9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44">
    <xf numFmtId="0" fontId="0" fillId="0" borderId="0" xfId="0"/>
    <xf numFmtId="166" fontId="4" fillId="0" borderId="0" xfId="8" applyNumberFormat="1" applyFont="1" applyFill="1"/>
    <xf numFmtId="166" fontId="5" fillId="0" borderId="0" xfId="8" applyNumberFormat="1" applyFont="1" applyFill="1"/>
    <xf numFmtId="166" fontId="4" fillId="0" borderId="3" xfId="8" applyNumberFormat="1" applyFont="1" applyFill="1" applyBorder="1" applyAlignment="1">
      <alignment horizontal="center" vertical="center" wrapText="1"/>
    </xf>
    <xf numFmtId="166" fontId="6" fillId="0" borderId="3" xfId="8" applyNumberFormat="1" applyFont="1" applyFill="1" applyBorder="1" applyAlignment="1">
      <alignment horizontal="left" vertical="center"/>
    </xf>
    <xf numFmtId="166" fontId="5" fillId="0" borderId="3" xfId="8" applyNumberFormat="1" applyFont="1" applyFill="1" applyBorder="1" applyAlignment="1">
      <alignment vertical="center"/>
    </xf>
    <xf numFmtId="166" fontId="4" fillId="0" borderId="3" xfId="8" applyNumberFormat="1" applyFont="1" applyFill="1" applyBorder="1" applyAlignment="1">
      <alignment horizontal="center" vertical="top" wrapText="1"/>
    </xf>
    <xf numFmtId="166" fontId="5" fillId="0" borderId="0" xfId="8" applyNumberFormat="1" applyFont="1"/>
    <xf numFmtId="166" fontId="5" fillId="0" borderId="3" xfId="8" applyNumberFormat="1" applyFont="1" applyBorder="1" applyAlignment="1">
      <alignment vertical="center"/>
    </xf>
    <xf numFmtId="166" fontId="9" fillId="0" borderId="3" xfId="9" applyNumberFormat="1" applyFont="1" applyFill="1" applyBorder="1" applyAlignment="1">
      <alignment horizontal="left" vertical="center"/>
    </xf>
    <xf numFmtId="166" fontId="8" fillId="0" borderId="3" xfId="9" applyNumberFormat="1" applyFont="1" applyBorder="1" applyAlignment="1">
      <alignment vertical="center"/>
    </xf>
    <xf numFmtId="166" fontId="8" fillId="0" borderId="0" xfId="9" applyNumberFormat="1" applyFont="1"/>
    <xf numFmtId="166" fontId="9" fillId="0" borderId="3" xfId="9" applyNumberFormat="1" applyFont="1" applyFill="1" applyBorder="1" applyAlignment="1">
      <alignment horizontal="center" vertical="center"/>
    </xf>
    <xf numFmtId="166" fontId="7" fillId="0" borderId="3" xfId="9" applyNumberFormat="1" applyFont="1" applyBorder="1" applyAlignment="1">
      <alignment vertical="center"/>
    </xf>
    <xf numFmtId="166" fontId="5" fillId="0" borderId="0" xfId="8" applyNumberFormat="1" applyFont="1" applyAlignment="1">
      <alignment horizontal="center"/>
    </xf>
    <xf numFmtId="166" fontId="5" fillId="0" borderId="0" xfId="8" applyNumberFormat="1" applyFont="1" applyFill="1" applyAlignment="1">
      <alignment horizontal="center"/>
    </xf>
    <xf numFmtId="0" fontId="8" fillId="0" borderId="0" xfId="9" applyNumberFormat="1" applyFont="1" applyAlignment="1">
      <alignment horizontal="center"/>
    </xf>
    <xf numFmtId="0" fontId="5" fillId="0" borderId="3" xfId="0" applyFont="1" applyBorder="1" applyAlignment="1">
      <alignment vertical="center"/>
    </xf>
    <xf numFmtId="166" fontId="5" fillId="0" borderId="0" xfId="8" applyNumberFormat="1" applyFont="1" applyFill="1" applyAlignment="1">
      <alignment vertical="center"/>
    </xf>
    <xf numFmtId="166" fontId="5" fillId="0" borderId="0" xfId="8" applyNumberFormat="1" applyFont="1" applyAlignment="1">
      <alignment vertical="center"/>
    </xf>
    <xf numFmtId="166" fontId="4" fillId="0" borderId="0" xfId="8" applyNumberFormat="1" applyFont="1" applyFill="1" applyAlignment="1">
      <alignment vertical="center"/>
    </xf>
    <xf numFmtId="166" fontId="4" fillId="0" borderId="3" xfId="8" applyNumberFormat="1" applyFont="1" applyFill="1" applyBorder="1" applyAlignment="1">
      <alignment vertical="center"/>
    </xf>
    <xf numFmtId="166" fontId="5" fillId="0" borderId="0" xfId="8" applyNumberFormat="1" applyFont="1" applyFill="1" applyAlignment="1">
      <alignment horizontal="center" vertical="center"/>
    </xf>
    <xf numFmtId="166" fontId="8" fillId="0" borderId="0" xfId="9" applyNumberFormat="1" applyFont="1" applyAlignment="1">
      <alignment vertical="center"/>
    </xf>
    <xf numFmtId="166" fontId="7" fillId="0" borderId="0" xfId="9" applyNumberFormat="1" applyFont="1" applyFill="1" applyAlignment="1">
      <alignment vertical="center"/>
    </xf>
    <xf numFmtId="166" fontId="8" fillId="0" borderId="0" xfId="9" applyNumberFormat="1" applyFont="1" applyFill="1" applyAlignment="1">
      <alignment vertical="center"/>
    </xf>
    <xf numFmtId="49" fontId="5" fillId="0" borderId="3" xfId="4" applyNumberFormat="1" applyFont="1" applyBorder="1"/>
    <xf numFmtId="166" fontId="8" fillId="0" borderId="3" xfId="2" applyNumberFormat="1" applyFont="1" applyBorder="1" applyAlignment="1">
      <alignment vertical="center"/>
    </xf>
    <xf numFmtId="166" fontId="9" fillId="0" borderId="3" xfId="2" applyNumberFormat="1" applyFont="1" applyFill="1" applyBorder="1" applyAlignment="1">
      <alignment horizontal="left" vertical="center"/>
    </xf>
    <xf numFmtId="166" fontId="8" fillId="0" borderId="0" xfId="2" applyNumberFormat="1" applyFont="1"/>
    <xf numFmtId="166" fontId="7" fillId="0" borderId="3" xfId="2" applyNumberFormat="1" applyFont="1" applyBorder="1" applyAlignment="1">
      <alignment vertical="center"/>
    </xf>
    <xf numFmtId="166" fontId="4" fillId="0" borderId="1" xfId="8" applyNumberFormat="1" applyFont="1" applyFill="1" applyBorder="1" applyAlignment="1">
      <alignment vertical="center"/>
    </xf>
    <xf numFmtId="166" fontId="4" fillId="0" borderId="1" xfId="8" applyNumberFormat="1" applyFont="1" applyFill="1" applyBorder="1" applyAlignment="1">
      <alignment vertical="center" wrapText="1"/>
    </xf>
    <xf numFmtId="166" fontId="4" fillId="0" borderId="3" xfId="8" applyNumberFormat="1" applyFont="1" applyBorder="1" applyAlignment="1">
      <alignment vertical="center"/>
    </xf>
    <xf numFmtId="0" fontId="8" fillId="0" borderId="3" xfId="0" applyFont="1" applyBorder="1"/>
    <xf numFmtId="0" fontId="11" fillId="0" borderId="3" xfId="0" applyFont="1" applyBorder="1"/>
    <xf numFmtId="0" fontId="1" fillId="0" borderId="3" xfId="0" applyFont="1" applyBorder="1"/>
    <xf numFmtId="166" fontId="7" fillId="0" borderId="2" xfId="2" applyNumberFormat="1" applyFont="1" applyBorder="1" applyAlignment="1">
      <alignment horizontal="center" vertical="center"/>
    </xf>
    <xf numFmtId="166" fontId="7" fillId="0" borderId="4" xfId="2" applyNumberFormat="1" applyFont="1" applyBorder="1" applyAlignment="1">
      <alignment horizontal="center" vertical="center"/>
    </xf>
    <xf numFmtId="166" fontId="4" fillId="0" borderId="3" xfId="8" applyNumberFormat="1" applyFont="1" applyFill="1" applyBorder="1" applyAlignment="1">
      <alignment horizontal="center" vertical="center"/>
    </xf>
    <xf numFmtId="166" fontId="10" fillId="0" borderId="2" xfId="8" applyNumberFormat="1" applyFont="1" applyFill="1" applyBorder="1" applyAlignment="1">
      <alignment horizontal="center" vertical="center"/>
    </xf>
    <xf numFmtId="166" fontId="10" fillId="0" borderId="4" xfId="8" applyNumberFormat="1" applyFont="1" applyFill="1" applyBorder="1" applyAlignment="1">
      <alignment horizontal="center" vertical="center"/>
    </xf>
    <xf numFmtId="166" fontId="7" fillId="0" borderId="2" xfId="9" applyNumberFormat="1" applyFont="1" applyBorder="1" applyAlignment="1">
      <alignment horizontal="center" vertical="center"/>
    </xf>
    <xf numFmtId="166" fontId="7" fillId="0" borderId="4" xfId="9" applyNumberFormat="1" applyFont="1" applyBorder="1" applyAlignment="1">
      <alignment horizontal="center" vertical="center"/>
    </xf>
  </cellXfs>
  <cellStyles count="11">
    <cellStyle name="Comma" xfId="2" builtinId="3"/>
    <cellStyle name="Comma [0] 2" xfId="7" xr:uid="{00000000-0005-0000-0000-000036000000}"/>
    <cellStyle name="Comma [0] 3" xfId="1" xr:uid="{00000000-0005-0000-0000-000003000000}"/>
    <cellStyle name="Comma [0] 4" xfId="10" xr:uid="{04DE26CD-F043-47FC-A4B6-AFDD497CB4F2}"/>
    <cellStyle name="Comma 2" xfId="6" xr:uid="{00000000-0005-0000-0000-000035000000}"/>
    <cellStyle name="Comma 3" xfId="9" xr:uid="{81396E88-489A-46F9-B4CD-696D21C02377}"/>
    <cellStyle name="Koma [0] 2" xfId="3" xr:uid="{00000000-0005-0000-0000-000005000000}"/>
    <cellStyle name="Koma 2" xfId="8" xr:uid="{00000000-0005-0000-0000-000037000000}"/>
    <cellStyle name="Normal" xfId="0" builtinId="0"/>
    <cellStyle name="Normal 2" xfId="5" xr:uid="{00000000-0005-0000-0000-00002E000000}"/>
    <cellStyle name="Normal 4" xfId="4" xr:uid="{00000000-0005-0000-0000-00001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OneDrive\Pemberdayaan%202019\1.%20Peningkatan%20Kapasitas%20Nelayan%202019\DATA%20STATISTIK%202019\alat%20olah%20statistik%202019-0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ASUS\Dropbox\Perikanan%2520Tangkap%25202022\1.%2520APBD%25202022\DATA\Data%2520Statistik\alat%2520olah%2520statistik%25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f TPI Binuangeun"/>
      <sheetName val="Prod alat"/>
      <sheetName val="Trip alat"/>
      <sheetName val="dasar"/>
      <sheetName val="Prod ikan TPI (1)"/>
      <sheetName val="Prod ikan TPI (2)"/>
      <sheetName val="Prod ikan rekap alat TPI"/>
      <sheetName val="Prod per ikan per bulan 2019"/>
      <sheetName val="Prod ikan per TPI sem1"/>
      <sheetName val="Prod ikan per TPI semII"/>
      <sheetName val="Prod ikan per TPI 2019"/>
      <sheetName val="Prod Per Alat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5">
          <cell r="B5" t="str">
            <v>Alu Alu/baracuda</v>
          </cell>
        </row>
        <row r="6">
          <cell r="B6" t="str">
            <v>Ayam ayam</v>
          </cell>
        </row>
        <row r="8">
          <cell r="B8" t="str">
            <v>Bentong</v>
          </cell>
        </row>
        <row r="9">
          <cell r="B9" t="str">
            <v>Cakalang</v>
          </cell>
        </row>
        <row r="11">
          <cell r="B11" t="str">
            <v>Cucut</v>
          </cell>
        </row>
        <row r="12">
          <cell r="B12" t="str">
            <v>Ekor kuning/Pisang-pisang/sunglir/salem</v>
          </cell>
        </row>
        <row r="13">
          <cell r="B13" t="str">
            <v>Golok golok</v>
          </cell>
        </row>
        <row r="14">
          <cell r="B14" t="str">
            <v>Gulamah/Tigawaja/Samgeh</v>
          </cell>
        </row>
        <row r="15">
          <cell r="B15" t="str">
            <v>ikan pedang</v>
          </cell>
        </row>
        <row r="16">
          <cell r="B16" t="str">
            <v>Ikan sebelah</v>
          </cell>
        </row>
        <row r="17">
          <cell r="B17" t="str">
            <v>Japuh</v>
          </cell>
        </row>
        <row r="19">
          <cell r="B19" t="str">
            <v>Kakap Merah</v>
          </cell>
        </row>
        <row r="20">
          <cell r="B20" t="str">
            <v>Kapas kapas</v>
          </cell>
        </row>
        <row r="21">
          <cell r="B21" t="str">
            <v>Kembung</v>
          </cell>
        </row>
        <row r="22">
          <cell r="B22" t="str">
            <v>Kerapu</v>
          </cell>
        </row>
        <row r="23">
          <cell r="B23" t="str">
            <v>kuwe</v>
          </cell>
        </row>
        <row r="24">
          <cell r="B24" t="str">
            <v>Kuniran/biji nangka</v>
          </cell>
        </row>
        <row r="25">
          <cell r="B25" t="str">
            <v>Kurisi</v>
          </cell>
        </row>
        <row r="26">
          <cell r="B26" t="str">
            <v>Laosan</v>
          </cell>
        </row>
        <row r="27">
          <cell r="B27" t="str">
            <v>Layang</v>
          </cell>
        </row>
        <row r="28">
          <cell r="B28" t="str">
            <v>layaran</v>
          </cell>
        </row>
        <row r="29">
          <cell r="B29" t="str">
            <v>Layur</v>
          </cell>
        </row>
        <row r="31">
          <cell r="B31" t="str">
            <v>Lemadang</v>
          </cell>
        </row>
        <row r="33">
          <cell r="B33" t="str">
            <v>Marlin</v>
          </cell>
        </row>
        <row r="34">
          <cell r="B34" t="str">
            <v>Pari</v>
          </cell>
        </row>
        <row r="35">
          <cell r="B35" t="str">
            <v>Peperek</v>
          </cell>
        </row>
        <row r="37">
          <cell r="B37" t="str">
            <v>Swanggi</v>
          </cell>
        </row>
        <row r="38">
          <cell r="B38" t="str">
            <v>Selar</v>
          </cell>
        </row>
        <row r="39">
          <cell r="B39" t="str">
            <v>Tambakan</v>
          </cell>
        </row>
        <row r="40">
          <cell r="B40" t="str">
            <v>Tembang</v>
          </cell>
        </row>
        <row r="41">
          <cell r="B41" t="str">
            <v>Tenggiri</v>
          </cell>
        </row>
        <row r="42">
          <cell r="B42" t="str">
            <v>Tetengkek</v>
          </cell>
        </row>
        <row r="43">
          <cell r="B43" t="str">
            <v>Tongkol</v>
          </cell>
        </row>
        <row r="44">
          <cell r="B44" t="str">
            <v>Tuna Sirip Kuning</v>
          </cell>
        </row>
        <row r="45">
          <cell r="B45" t="str">
            <v>Tuna Mata Besar</v>
          </cell>
        </row>
        <row r="46">
          <cell r="B46" t="str">
            <v>Teri</v>
          </cell>
        </row>
      </sheetData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f TPI Binuangeun"/>
      <sheetName val="Prod alat"/>
      <sheetName val="Trip alat"/>
      <sheetName val="dasar"/>
      <sheetName val="Prod ikan TPI (1)"/>
      <sheetName val="Prod ikan TPI (2)"/>
      <sheetName val="Prod ikan rekap alat TPI"/>
      <sheetName val="Prod per ikan per bulan 2022"/>
      <sheetName val="Prod ikan per TPI sem1"/>
      <sheetName val="Prod ikan per TPI semII"/>
      <sheetName val="Prod ikan per TPI 2022"/>
      <sheetName val="Prod Per Alat"/>
      <sheetName val="Sheet3"/>
    </sheetNames>
    <sheetDataSet>
      <sheetData sheetId="0"/>
      <sheetData sheetId="1"/>
      <sheetData sheetId="2"/>
      <sheetData sheetId="3"/>
      <sheetData sheetId="4"/>
      <sheetData sheetId="5">
        <row r="4">
          <cell r="Q4">
            <v>5764.6</v>
          </cell>
          <cell r="AF4">
            <v>3432.0000000000005</v>
          </cell>
          <cell r="AU4">
            <v>3581.6000000000004</v>
          </cell>
          <cell r="BJ4">
            <v>4876.6000000000004</v>
          </cell>
          <cell r="BY4">
            <v>4367.2</v>
          </cell>
          <cell r="CN4">
            <v>8652</v>
          </cell>
          <cell r="DD4">
            <v>3990.2</v>
          </cell>
          <cell r="DS4">
            <v>5378.4</v>
          </cell>
          <cell r="EH4">
            <v>7178.2</v>
          </cell>
          <cell r="EW4">
            <v>1800</v>
          </cell>
          <cell r="FL4">
            <v>6600</v>
          </cell>
          <cell r="GA4">
            <v>1720</v>
          </cell>
        </row>
        <row r="5">
          <cell r="Q5">
            <v>148</v>
          </cell>
          <cell r="AF5">
            <v>260</v>
          </cell>
          <cell r="AU5">
            <v>185</v>
          </cell>
          <cell r="BJ5">
            <v>407</v>
          </cell>
          <cell r="BY5">
            <v>206</v>
          </cell>
          <cell r="CN5">
            <v>144.19999999999999</v>
          </cell>
          <cell r="DD5">
            <v>281</v>
          </cell>
          <cell r="DS5">
            <v>265.60000000000002</v>
          </cell>
          <cell r="EH5">
            <v>494</v>
          </cell>
          <cell r="EW5">
            <v>4640</v>
          </cell>
          <cell r="FL5">
            <v>680</v>
          </cell>
          <cell r="GA5">
            <v>800</v>
          </cell>
        </row>
        <row r="6">
          <cell r="Q6">
            <v>128546.34999999999</v>
          </cell>
          <cell r="AF6">
            <v>114864.75</v>
          </cell>
          <cell r="AU6">
            <v>205776.5</v>
          </cell>
          <cell r="BJ6">
            <v>184943</v>
          </cell>
          <cell r="BY6">
            <v>118703.85</v>
          </cell>
          <cell r="CN6">
            <v>155044.47</v>
          </cell>
          <cell r="DD6">
            <v>207343.5</v>
          </cell>
          <cell r="DS6">
            <v>257137.2</v>
          </cell>
          <cell r="EH6">
            <v>223713</v>
          </cell>
          <cell r="EW6">
            <v>243633.25</v>
          </cell>
          <cell r="FL6">
            <v>207396.17500000002</v>
          </cell>
          <cell r="GA6">
            <v>243512.5</v>
          </cell>
        </row>
        <row r="7">
          <cell r="Q7">
            <v>1069.1999999999998</v>
          </cell>
          <cell r="AF7">
            <v>826</v>
          </cell>
          <cell r="AU7">
            <v>1871.1</v>
          </cell>
          <cell r="BJ7">
            <v>1722.6</v>
          </cell>
          <cell r="BY7">
            <v>1776</v>
          </cell>
          <cell r="CN7">
            <v>1555</v>
          </cell>
          <cell r="DD7">
            <v>1296.23</v>
          </cell>
          <cell r="DS7">
            <v>348</v>
          </cell>
          <cell r="EH7">
            <v>627.20000000000005</v>
          </cell>
          <cell r="EW7">
            <v>6050</v>
          </cell>
          <cell r="FL7">
            <v>2900</v>
          </cell>
          <cell r="GA7">
            <v>2000</v>
          </cell>
        </row>
        <row r="9">
          <cell r="Q9">
            <v>1386</v>
          </cell>
          <cell r="AF9">
            <v>2360</v>
          </cell>
          <cell r="AU9">
            <v>2158.1999999999998</v>
          </cell>
          <cell r="BJ9">
            <v>1831.5</v>
          </cell>
          <cell r="BY9">
            <v>1184</v>
          </cell>
          <cell r="CN9">
            <v>2177</v>
          </cell>
          <cell r="DD9">
            <v>2070.9</v>
          </cell>
          <cell r="DS9">
            <v>1044</v>
          </cell>
          <cell r="EH9">
            <v>1136.8</v>
          </cell>
          <cell r="EW9">
            <v>6750</v>
          </cell>
          <cell r="FL9">
            <v>5925</v>
          </cell>
          <cell r="GA9">
            <v>1750</v>
          </cell>
        </row>
        <row r="10">
          <cell r="Q10">
            <v>1237.5</v>
          </cell>
          <cell r="AF10">
            <v>1180</v>
          </cell>
          <cell r="AU10">
            <v>1930.5</v>
          </cell>
          <cell r="BJ10">
            <v>2079</v>
          </cell>
          <cell r="BY10">
            <v>3433.6</v>
          </cell>
          <cell r="CN10">
            <v>1928.2</v>
          </cell>
          <cell r="DD10">
            <v>1687.4</v>
          </cell>
          <cell r="DS10">
            <v>1426.8</v>
          </cell>
          <cell r="EH10">
            <v>1411.2</v>
          </cell>
          <cell r="EW10">
            <v>3145</v>
          </cell>
          <cell r="FL10">
            <v>1250</v>
          </cell>
          <cell r="GA10">
            <v>3500</v>
          </cell>
        </row>
        <row r="11">
          <cell r="Q11">
            <v>4603.5</v>
          </cell>
          <cell r="AF11">
            <v>6313</v>
          </cell>
          <cell r="AU11">
            <v>4108.5</v>
          </cell>
          <cell r="BJ11">
            <v>3385.7999999999997</v>
          </cell>
          <cell r="BY11">
            <v>2072</v>
          </cell>
          <cell r="CN11">
            <v>1648.3</v>
          </cell>
          <cell r="DD11">
            <v>1610.7</v>
          </cell>
          <cell r="DS11">
            <v>2262</v>
          </cell>
          <cell r="EH11">
            <v>2979.2</v>
          </cell>
          <cell r="EW11">
            <v>4000</v>
          </cell>
          <cell r="FL11">
            <v>19780</v>
          </cell>
          <cell r="GA11">
            <v>3000</v>
          </cell>
        </row>
        <row r="12">
          <cell r="Q12">
            <v>3217.5</v>
          </cell>
          <cell r="AF12">
            <v>4130</v>
          </cell>
          <cell r="AU12">
            <v>3177.9</v>
          </cell>
          <cell r="BJ12">
            <v>3613.5</v>
          </cell>
          <cell r="BY12">
            <v>1965.4399999999998</v>
          </cell>
          <cell r="CN12">
            <v>2998.04</v>
          </cell>
          <cell r="DD12">
            <v>2147.6</v>
          </cell>
          <cell r="DS12">
            <v>1009.1999999999999</v>
          </cell>
          <cell r="EH12">
            <v>2038.4</v>
          </cell>
          <cell r="EW12">
            <v>6230</v>
          </cell>
          <cell r="FL12">
            <v>7009.9999999999991</v>
          </cell>
          <cell r="GA12">
            <v>1250</v>
          </cell>
        </row>
        <row r="13">
          <cell r="Q13">
            <v>6435</v>
          </cell>
          <cell r="AF13">
            <v>5900</v>
          </cell>
          <cell r="AU13">
            <v>5841</v>
          </cell>
          <cell r="BJ13">
            <v>5791.5</v>
          </cell>
          <cell r="BY13">
            <v>3078.4</v>
          </cell>
          <cell r="CN13">
            <v>3856.4</v>
          </cell>
          <cell r="DD13">
            <v>4141.8</v>
          </cell>
          <cell r="DS13">
            <v>1461.6</v>
          </cell>
          <cell r="EH13">
            <v>2234.4</v>
          </cell>
          <cell r="EW13">
            <v>8450</v>
          </cell>
          <cell r="FL13">
            <v>3600</v>
          </cell>
          <cell r="GA13">
            <v>3500</v>
          </cell>
        </row>
        <row r="15">
          <cell r="Q15">
            <v>975</v>
          </cell>
          <cell r="AF15">
            <v>544</v>
          </cell>
          <cell r="AU15">
            <v>689.00000000000011</v>
          </cell>
          <cell r="BJ15">
            <v>2171.0000000000005</v>
          </cell>
          <cell r="BY15">
            <v>986</v>
          </cell>
          <cell r="CN15">
            <v>1587</v>
          </cell>
          <cell r="DD15">
            <v>1496.5</v>
          </cell>
          <cell r="DS15">
            <v>1041.5999999999999</v>
          </cell>
          <cell r="EH15">
            <v>1598</v>
          </cell>
          <cell r="EW15">
            <v>7995</v>
          </cell>
          <cell r="FL15">
            <v>7670</v>
          </cell>
          <cell r="GA15">
            <v>1625</v>
          </cell>
        </row>
        <row r="16">
          <cell r="Q16">
            <v>2340</v>
          </cell>
          <cell r="AF16">
            <v>1156</v>
          </cell>
          <cell r="AU16">
            <v>1170</v>
          </cell>
          <cell r="BJ16">
            <v>1365</v>
          </cell>
          <cell r="BY16">
            <v>215.86</v>
          </cell>
          <cell r="CN16">
            <v>376.5</v>
          </cell>
          <cell r="DD16">
            <v>673.68000000000006</v>
          </cell>
          <cell r="DS16">
            <v>442.5</v>
          </cell>
          <cell r="EH16">
            <v>297.86</v>
          </cell>
          <cell r="EW16">
            <v>1225</v>
          </cell>
          <cell r="FL16">
            <v>2744</v>
          </cell>
          <cell r="GA16">
            <v>735</v>
          </cell>
        </row>
        <row r="17">
          <cell r="Q17">
            <v>1365</v>
          </cell>
          <cell r="AF17">
            <v>924.80000000000007</v>
          </cell>
          <cell r="AU17">
            <v>1144</v>
          </cell>
          <cell r="BJ17">
            <v>1365</v>
          </cell>
          <cell r="BY17">
            <v>1088</v>
          </cell>
          <cell r="CN17">
            <v>621</v>
          </cell>
          <cell r="DD17">
            <v>919.80000000000007</v>
          </cell>
          <cell r="DS17">
            <v>372</v>
          </cell>
          <cell r="EH17">
            <v>705</v>
          </cell>
          <cell r="EW17">
            <v>7670</v>
          </cell>
          <cell r="FL17">
            <v>7189</v>
          </cell>
          <cell r="GA17">
            <v>1235</v>
          </cell>
        </row>
        <row r="18">
          <cell r="Q18">
            <v>990</v>
          </cell>
          <cell r="AF18">
            <v>1209.5</v>
          </cell>
          <cell r="AU18">
            <v>866.25</v>
          </cell>
          <cell r="BJ18">
            <v>1237.5</v>
          </cell>
          <cell r="BY18">
            <v>1243.2</v>
          </cell>
          <cell r="CN18">
            <v>1679.4</v>
          </cell>
          <cell r="DD18">
            <v>1595.3600000000001</v>
          </cell>
          <cell r="DS18">
            <v>904.8</v>
          </cell>
          <cell r="EH18">
            <v>784</v>
          </cell>
          <cell r="EW18">
            <v>6600</v>
          </cell>
          <cell r="FL18">
            <v>6380</v>
          </cell>
          <cell r="GA18">
            <v>2000</v>
          </cell>
        </row>
        <row r="19">
          <cell r="Q19">
            <v>1728</v>
          </cell>
          <cell r="AF19">
            <v>1455</v>
          </cell>
          <cell r="AU19">
            <v>1368</v>
          </cell>
          <cell r="BJ19">
            <v>2544</v>
          </cell>
          <cell r="BY19">
            <v>1987.92</v>
          </cell>
          <cell r="CN19">
            <v>2208.8000000000002</v>
          </cell>
          <cell r="DD19">
            <v>1992.06</v>
          </cell>
          <cell r="DS19">
            <v>1335.6</v>
          </cell>
          <cell r="EH19">
            <v>3488.8</v>
          </cell>
          <cell r="EW19">
            <v>13130</v>
          </cell>
          <cell r="FL19">
            <v>12055</v>
          </cell>
          <cell r="GA19">
            <v>9250</v>
          </cell>
        </row>
        <row r="20">
          <cell r="Q20">
            <v>5005</v>
          </cell>
          <cell r="AF20">
            <v>10005</v>
          </cell>
          <cell r="AU20">
            <v>8354.5</v>
          </cell>
          <cell r="BJ20">
            <v>11935</v>
          </cell>
          <cell r="BY20">
            <v>4881.24</v>
          </cell>
          <cell r="CN20">
            <v>10441.200000000001</v>
          </cell>
          <cell r="DD20">
            <v>7044.8</v>
          </cell>
          <cell r="DS20">
            <v>1946.6999999999998</v>
          </cell>
          <cell r="EH20">
            <v>3054.4</v>
          </cell>
          <cell r="EW20">
            <v>20504</v>
          </cell>
          <cell r="FL20">
            <v>20040</v>
          </cell>
          <cell r="GA20">
            <v>19600</v>
          </cell>
        </row>
        <row r="21">
          <cell r="Q21">
            <v>2695</v>
          </cell>
          <cell r="AF21">
            <v>5220</v>
          </cell>
          <cell r="AU21">
            <v>7161</v>
          </cell>
          <cell r="BJ21">
            <v>10780</v>
          </cell>
          <cell r="BY21">
            <v>9118.7999999999993</v>
          </cell>
          <cell r="CN21">
            <v>3834.6</v>
          </cell>
          <cell r="DD21">
            <v>4084.8</v>
          </cell>
          <cell r="DS21">
            <v>1637.6999999999998</v>
          </cell>
          <cell r="EH21">
            <v>9823.8800000000028</v>
          </cell>
          <cell r="EW21">
            <v>9300</v>
          </cell>
          <cell r="FL21">
            <v>13300</v>
          </cell>
          <cell r="GA21">
            <v>7000</v>
          </cell>
        </row>
        <row r="22">
          <cell r="Q22">
            <v>3217.5</v>
          </cell>
          <cell r="AF22">
            <v>1711</v>
          </cell>
          <cell r="AU22">
            <v>1608.75</v>
          </cell>
          <cell r="BJ22">
            <v>940.5</v>
          </cell>
          <cell r="BY22">
            <v>1420.8</v>
          </cell>
          <cell r="CN22">
            <v>1555</v>
          </cell>
          <cell r="DD22">
            <v>1534</v>
          </cell>
          <cell r="DS22">
            <v>556.79999999999995</v>
          </cell>
          <cell r="EH22">
            <v>940.8</v>
          </cell>
          <cell r="EW22">
            <v>6540</v>
          </cell>
          <cell r="FL22">
            <v>2500</v>
          </cell>
          <cell r="GA22">
            <v>2000</v>
          </cell>
        </row>
        <row r="23">
          <cell r="Q23">
            <v>3663</v>
          </cell>
          <cell r="AF23">
            <v>2537</v>
          </cell>
          <cell r="AU23">
            <v>3465</v>
          </cell>
          <cell r="BJ23">
            <v>2524.5</v>
          </cell>
          <cell r="BY23">
            <v>2652.16</v>
          </cell>
          <cell r="CN23">
            <v>1679.4</v>
          </cell>
          <cell r="DD23">
            <v>1748.7599999999998</v>
          </cell>
          <cell r="DS23">
            <v>1461.6</v>
          </cell>
          <cell r="EH23">
            <v>1332.8</v>
          </cell>
          <cell r="EW23">
            <v>3500</v>
          </cell>
          <cell r="FL23">
            <v>7445</v>
          </cell>
          <cell r="GA23">
            <v>1250</v>
          </cell>
        </row>
        <row r="24">
          <cell r="Q24">
            <v>2821.5</v>
          </cell>
          <cell r="AF24">
            <v>2478</v>
          </cell>
          <cell r="AU24">
            <v>2524.5</v>
          </cell>
          <cell r="BJ24">
            <v>1861.2</v>
          </cell>
          <cell r="BY24">
            <v>2794.24</v>
          </cell>
          <cell r="CN24">
            <v>2152.12</v>
          </cell>
          <cell r="DD24">
            <v>3359.46</v>
          </cell>
          <cell r="DS24">
            <v>904.8</v>
          </cell>
          <cell r="EH24">
            <v>1215.2</v>
          </cell>
          <cell r="EW24">
            <v>6300</v>
          </cell>
          <cell r="FL24">
            <v>6400</v>
          </cell>
          <cell r="GA24">
            <v>1500</v>
          </cell>
        </row>
        <row r="25">
          <cell r="Q25">
            <v>8910</v>
          </cell>
          <cell r="AF25">
            <v>7729</v>
          </cell>
          <cell r="AU25">
            <v>4405.5</v>
          </cell>
          <cell r="BJ25">
            <v>3069</v>
          </cell>
          <cell r="BY25">
            <v>4676.8</v>
          </cell>
          <cell r="CN25">
            <v>6282.2</v>
          </cell>
          <cell r="DD25">
            <v>4908.8</v>
          </cell>
          <cell r="DS25">
            <v>2749.2</v>
          </cell>
          <cell r="EH25">
            <v>2077.6</v>
          </cell>
          <cell r="EW25">
            <v>3400</v>
          </cell>
          <cell r="FL25">
            <v>24745</v>
          </cell>
          <cell r="GA25">
            <v>3500</v>
          </cell>
        </row>
        <row r="26">
          <cell r="Q26">
            <v>3388</v>
          </cell>
          <cell r="AF26">
            <v>3175.5</v>
          </cell>
          <cell r="AU26">
            <v>5043.5</v>
          </cell>
          <cell r="BJ26">
            <v>4504.5</v>
          </cell>
          <cell r="BY26">
            <v>3263.1</v>
          </cell>
          <cell r="CN26">
            <v>1617</v>
          </cell>
          <cell r="DD26">
            <v>1716.8</v>
          </cell>
          <cell r="DS26">
            <v>957.90000000000009</v>
          </cell>
          <cell r="EH26">
            <v>710.48000000000013</v>
          </cell>
          <cell r="EW26">
            <v>7068.0000000000009</v>
          </cell>
          <cell r="FL26">
            <v>2716</v>
          </cell>
          <cell r="GA26">
            <v>3000</v>
          </cell>
        </row>
        <row r="27">
          <cell r="Q27">
            <v>1232</v>
          </cell>
          <cell r="AF27">
            <v>957</v>
          </cell>
          <cell r="AU27">
            <v>1655.5</v>
          </cell>
          <cell r="BJ27">
            <v>847</v>
          </cell>
          <cell r="BY27">
            <v>1832.7</v>
          </cell>
          <cell r="CN27">
            <v>1663.2</v>
          </cell>
          <cell r="DD27">
            <v>1704.96</v>
          </cell>
          <cell r="DS27">
            <v>1143.3</v>
          </cell>
          <cell r="EH27">
            <v>2778.8399999999997</v>
          </cell>
          <cell r="EW27">
            <v>5312</v>
          </cell>
          <cell r="FL27">
            <v>5164</v>
          </cell>
          <cell r="GA27">
            <v>1312.0000000000002</v>
          </cell>
        </row>
        <row r="28">
          <cell r="Q28">
            <v>21591.5</v>
          </cell>
          <cell r="AF28">
            <v>18560</v>
          </cell>
          <cell r="AU28">
            <v>32035.400000000005</v>
          </cell>
          <cell r="BJ28">
            <v>23498</v>
          </cell>
          <cell r="BY28">
            <v>14988.4</v>
          </cell>
          <cell r="CN28">
            <v>14564.2</v>
          </cell>
          <cell r="DD28">
            <v>11940.2</v>
          </cell>
          <cell r="DS28">
            <v>12757.5</v>
          </cell>
          <cell r="EH28">
            <v>21878.400000000001</v>
          </cell>
          <cell r="EW28">
            <v>31970</v>
          </cell>
          <cell r="FL28">
            <v>22884.000000000004</v>
          </cell>
          <cell r="GA28">
            <v>29010</v>
          </cell>
        </row>
        <row r="29">
          <cell r="Q29">
            <v>660</v>
          </cell>
          <cell r="AF29">
            <v>1104.5</v>
          </cell>
          <cell r="AU29">
            <v>1276</v>
          </cell>
          <cell r="BJ29">
            <v>1760</v>
          </cell>
          <cell r="BY29">
            <v>1108.5999999999999</v>
          </cell>
          <cell r="CN29">
            <v>1132.7</v>
          </cell>
          <cell r="DD29">
            <v>2328.1200000000003</v>
          </cell>
          <cell r="DS29">
            <v>1888</v>
          </cell>
          <cell r="EH29">
            <v>2357.6999999999998</v>
          </cell>
          <cell r="EW29">
            <v>1081</v>
          </cell>
          <cell r="FL29">
            <v>893</v>
          </cell>
          <cell r="GA29">
            <v>1774.25</v>
          </cell>
        </row>
        <row r="30">
          <cell r="Q30">
            <v>15840</v>
          </cell>
          <cell r="AF30">
            <v>14927</v>
          </cell>
          <cell r="AU30">
            <v>15444</v>
          </cell>
          <cell r="BJ30">
            <v>12028.5</v>
          </cell>
          <cell r="BY30">
            <v>7696</v>
          </cell>
          <cell r="CN30">
            <v>12626.6</v>
          </cell>
          <cell r="DD30">
            <v>10968.1</v>
          </cell>
          <cell r="DS30">
            <v>11414.4</v>
          </cell>
          <cell r="EH30">
            <v>16072</v>
          </cell>
          <cell r="EW30">
            <v>20430</v>
          </cell>
          <cell r="FL30">
            <v>17765</v>
          </cell>
          <cell r="GA30">
            <v>16015</v>
          </cell>
        </row>
        <row r="31">
          <cell r="Q31">
            <v>30288</v>
          </cell>
          <cell r="AF31">
            <v>20500</v>
          </cell>
          <cell r="AU31">
            <v>34080</v>
          </cell>
          <cell r="BJ31">
            <v>38640</v>
          </cell>
          <cell r="BY31">
            <v>18491.2</v>
          </cell>
          <cell r="CN31">
            <v>25603.200000000001</v>
          </cell>
          <cell r="DD31">
            <v>23347.200000000001</v>
          </cell>
          <cell r="DS31">
            <v>9744</v>
          </cell>
          <cell r="EH31">
            <v>47336.800000000003</v>
          </cell>
          <cell r="EW31">
            <v>41800</v>
          </cell>
          <cell r="FL31">
            <v>20600</v>
          </cell>
          <cell r="GA31">
            <v>42125</v>
          </cell>
        </row>
        <row r="32">
          <cell r="Q32">
            <v>1138.5</v>
          </cell>
          <cell r="AF32">
            <v>885</v>
          </cell>
          <cell r="AU32">
            <v>915.75</v>
          </cell>
          <cell r="BJ32">
            <v>1732.5</v>
          </cell>
          <cell r="BY32">
            <v>651.20000000000005</v>
          </cell>
          <cell r="CN32">
            <v>1306.2</v>
          </cell>
          <cell r="DD32">
            <v>460.2</v>
          </cell>
          <cell r="DS32">
            <v>591.59999999999991</v>
          </cell>
          <cell r="EH32">
            <v>337.12</v>
          </cell>
          <cell r="EW32">
            <v>5534.9999999999991</v>
          </cell>
          <cell r="FL32">
            <v>969.99999999999989</v>
          </cell>
          <cell r="GA32">
            <v>1164.9999999999998</v>
          </cell>
        </row>
        <row r="36">
          <cell r="Q36">
            <v>3780</v>
          </cell>
          <cell r="AF36">
            <v>2660</v>
          </cell>
          <cell r="AU36">
            <v>2415</v>
          </cell>
          <cell r="BJ36">
            <v>3710</v>
          </cell>
          <cell r="BY36">
            <v>2240</v>
          </cell>
          <cell r="CN36">
            <v>2590</v>
          </cell>
          <cell r="DD36">
            <v>3150</v>
          </cell>
          <cell r="DS36">
            <v>1406</v>
          </cell>
          <cell r="EH36">
            <v>2100</v>
          </cell>
          <cell r="EW36">
            <v>2009</v>
          </cell>
          <cell r="FL36">
            <v>1330</v>
          </cell>
          <cell r="GA36">
            <v>2184</v>
          </cell>
        </row>
        <row r="37">
          <cell r="Q37">
            <v>2400</v>
          </cell>
          <cell r="AF37">
            <v>2120</v>
          </cell>
          <cell r="AU37">
            <v>1800</v>
          </cell>
          <cell r="BJ37">
            <v>2715</v>
          </cell>
          <cell r="BY37">
            <v>2288</v>
          </cell>
          <cell r="CN37">
            <v>2354</v>
          </cell>
          <cell r="DD37">
            <v>3854</v>
          </cell>
          <cell r="DS37">
            <v>3180</v>
          </cell>
          <cell r="EH37">
            <v>3840</v>
          </cell>
          <cell r="EW37">
            <v>2040</v>
          </cell>
          <cell r="FL37">
            <v>1310</v>
          </cell>
          <cell r="GA37">
            <v>2640</v>
          </cell>
        </row>
        <row r="38">
          <cell r="Q38">
            <v>134</v>
          </cell>
          <cell r="AF38">
            <v>420</v>
          </cell>
          <cell r="AU38">
            <v>268</v>
          </cell>
          <cell r="BJ38">
            <v>452.25</v>
          </cell>
          <cell r="BY38">
            <v>489.90000000000003</v>
          </cell>
          <cell r="CN38">
            <v>234.3</v>
          </cell>
          <cell r="DD38">
            <v>368.71999999999997</v>
          </cell>
          <cell r="DS38">
            <v>775.85</v>
          </cell>
          <cell r="EH38">
            <v>722.80000000000007</v>
          </cell>
          <cell r="EW38">
            <v>352</v>
          </cell>
          <cell r="FL38">
            <v>2514.0000000000005</v>
          </cell>
          <cell r="GA38">
            <v>396.00000000000006</v>
          </cell>
        </row>
        <row r="39">
          <cell r="Q39">
            <v>2668.7999999999997</v>
          </cell>
          <cell r="AF39">
            <v>3090</v>
          </cell>
          <cell r="AU39">
            <v>3456</v>
          </cell>
          <cell r="BJ39">
            <v>2640</v>
          </cell>
          <cell r="BY39">
            <v>1574.8</v>
          </cell>
          <cell r="CN39">
            <v>2321.56</v>
          </cell>
          <cell r="DD39">
            <v>2164.48</v>
          </cell>
          <cell r="DS39">
            <v>417.59999999999997</v>
          </cell>
          <cell r="EH39">
            <v>1433.8</v>
          </cell>
          <cell r="EW39">
            <v>1250</v>
          </cell>
          <cell r="FL39">
            <v>2950</v>
          </cell>
          <cell r="GA39">
            <v>1600</v>
          </cell>
        </row>
        <row r="40">
          <cell r="Q40">
            <v>131.625</v>
          </cell>
          <cell r="AF40">
            <v>387.75</v>
          </cell>
          <cell r="AU40">
            <v>506.25</v>
          </cell>
          <cell r="BJ40">
            <v>729</v>
          </cell>
          <cell r="BY40">
            <v>545.6</v>
          </cell>
          <cell r="CN40">
            <v>744</v>
          </cell>
          <cell r="DD40">
            <v>615.75</v>
          </cell>
          <cell r="DS40">
            <v>1350</v>
          </cell>
          <cell r="EH40">
            <v>469.5</v>
          </cell>
          <cell r="EW40">
            <v>211.5</v>
          </cell>
          <cell r="FL40">
            <v>376</v>
          </cell>
          <cell r="GA40">
            <v>235</v>
          </cell>
        </row>
        <row r="41">
          <cell r="Q41">
            <v>10010</v>
          </cell>
          <cell r="AF41">
            <v>8960</v>
          </cell>
          <cell r="AU41">
            <v>11200</v>
          </cell>
          <cell r="BJ41">
            <v>12670</v>
          </cell>
          <cell r="BY41">
            <v>6160</v>
          </cell>
          <cell r="CN41">
            <v>5180</v>
          </cell>
          <cell r="DD41">
            <v>4830</v>
          </cell>
          <cell r="DS41">
            <v>3496</v>
          </cell>
          <cell r="EH41">
            <v>3960</v>
          </cell>
          <cell r="EW41">
            <v>6020</v>
          </cell>
          <cell r="FL41">
            <v>10640</v>
          </cell>
          <cell r="GA41">
            <v>6790</v>
          </cell>
        </row>
        <row r="42">
          <cell r="Q42">
            <v>490</v>
          </cell>
          <cell r="AF42">
            <v>252</v>
          </cell>
          <cell r="AU42">
            <v>630</v>
          </cell>
          <cell r="BJ42">
            <v>1190</v>
          </cell>
          <cell r="BY42">
            <v>630</v>
          </cell>
          <cell r="CN42">
            <v>840</v>
          </cell>
          <cell r="DD42">
            <v>1190</v>
          </cell>
          <cell r="DS42">
            <v>494</v>
          </cell>
          <cell r="EH42">
            <v>475</v>
          </cell>
          <cell r="EW42">
            <v>7700</v>
          </cell>
          <cell r="FL42">
            <v>10745</v>
          </cell>
          <cell r="GA42">
            <v>1610</v>
          </cell>
        </row>
        <row r="43">
          <cell r="Q43">
            <v>31500</v>
          </cell>
          <cell r="AF43">
            <v>36400</v>
          </cell>
          <cell r="AU43">
            <v>28840</v>
          </cell>
          <cell r="BJ43">
            <v>42560</v>
          </cell>
          <cell r="BY43">
            <v>27559</v>
          </cell>
          <cell r="CN43">
            <v>37870</v>
          </cell>
          <cell r="DD43">
            <v>29400</v>
          </cell>
          <cell r="DS43">
            <v>21280</v>
          </cell>
          <cell r="EH43">
            <v>27700</v>
          </cell>
          <cell r="EW43">
            <v>27230</v>
          </cell>
          <cell r="FL43">
            <v>22890</v>
          </cell>
          <cell r="GA43">
            <v>28784</v>
          </cell>
        </row>
        <row r="46">
          <cell r="Q46">
            <v>3220</v>
          </cell>
          <cell r="AF46">
            <v>2100</v>
          </cell>
          <cell r="AU46">
            <v>2800</v>
          </cell>
          <cell r="BJ46">
            <v>1946</v>
          </cell>
          <cell r="BY46">
            <v>2240</v>
          </cell>
          <cell r="CN46">
            <v>2870</v>
          </cell>
          <cell r="DD46">
            <v>2240</v>
          </cell>
          <cell r="DS46">
            <v>950</v>
          </cell>
          <cell r="EH46">
            <v>1000</v>
          </cell>
          <cell r="EW46">
            <v>994</v>
          </cell>
          <cell r="FL46">
            <v>1610</v>
          </cell>
          <cell r="GA46">
            <v>1610</v>
          </cell>
        </row>
        <row r="47">
          <cell r="Q47">
            <v>8016</v>
          </cell>
          <cell r="AF47">
            <v>10000</v>
          </cell>
          <cell r="AU47">
            <v>15840</v>
          </cell>
          <cell r="BJ47">
            <v>23328</v>
          </cell>
          <cell r="BY47">
            <v>7721.6</v>
          </cell>
          <cell r="CN47">
            <v>7924.8</v>
          </cell>
          <cell r="DD47">
            <v>5532.8</v>
          </cell>
          <cell r="DS47">
            <v>4872</v>
          </cell>
          <cell r="EH47">
            <v>14650.439999999999</v>
          </cell>
          <cell r="EW47">
            <v>23465</v>
          </cell>
          <cell r="FL47">
            <v>26630</v>
          </cell>
          <cell r="GA47">
            <v>23940</v>
          </cell>
        </row>
        <row r="48">
          <cell r="Q48">
            <v>1240</v>
          </cell>
          <cell r="AF48">
            <v>3360</v>
          </cell>
          <cell r="AU48">
            <v>3720</v>
          </cell>
          <cell r="BJ48">
            <v>4929</v>
          </cell>
          <cell r="BY48">
            <v>2262.4</v>
          </cell>
          <cell r="CN48">
            <v>2504.8000000000002</v>
          </cell>
          <cell r="DD48">
            <v>1884.1</v>
          </cell>
          <cell r="DS48">
            <v>420</v>
          </cell>
          <cell r="EH48">
            <v>4876</v>
          </cell>
          <cell r="EW48">
            <v>3800</v>
          </cell>
          <cell r="FL48">
            <v>6600</v>
          </cell>
          <cell r="GA48">
            <v>4200</v>
          </cell>
        </row>
        <row r="49">
          <cell r="Q49">
            <v>1089</v>
          </cell>
          <cell r="AF49">
            <v>2271.5</v>
          </cell>
          <cell r="AU49">
            <v>2410.6499999999996</v>
          </cell>
          <cell r="BJ49">
            <v>1237.5</v>
          </cell>
          <cell r="BY49">
            <v>1124.8</v>
          </cell>
          <cell r="CN49">
            <v>1430.6</v>
          </cell>
          <cell r="DD49">
            <v>1380.6</v>
          </cell>
          <cell r="DS49">
            <v>904.8</v>
          </cell>
          <cell r="EH49">
            <v>1920.8</v>
          </cell>
          <cell r="EW49">
            <v>1550</v>
          </cell>
          <cell r="FL49">
            <v>5750</v>
          </cell>
          <cell r="GA49">
            <v>2100</v>
          </cell>
        </row>
        <row r="50">
          <cell r="Q50">
            <v>670</v>
          </cell>
          <cell r="AF50">
            <v>700</v>
          </cell>
          <cell r="AU50">
            <v>452.25</v>
          </cell>
          <cell r="BJ50">
            <v>569.5</v>
          </cell>
          <cell r="BY50">
            <v>447.3</v>
          </cell>
          <cell r="CN50">
            <v>607.04999999999995</v>
          </cell>
          <cell r="DD50">
            <v>875.71</v>
          </cell>
          <cell r="DS50">
            <v>354</v>
          </cell>
          <cell r="EH50">
            <v>361.40000000000003</v>
          </cell>
          <cell r="EW50">
            <v>360</v>
          </cell>
          <cell r="FL50">
            <v>2100</v>
          </cell>
          <cell r="GA50">
            <v>420</v>
          </cell>
        </row>
        <row r="51">
          <cell r="Q51">
            <v>452.25</v>
          </cell>
          <cell r="AF51">
            <v>480</v>
          </cell>
          <cell r="AU51">
            <v>368.5</v>
          </cell>
          <cell r="BJ51">
            <v>519.25</v>
          </cell>
          <cell r="BY51">
            <v>394.05</v>
          </cell>
          <cell r="CN51">
            <v>298.20000000000005</v>
          </cell>
          <cell r="DD51">
            <v>414.81</v>
          </cell>
          <cell r="DS51">
            <v>413</v>
          </cell>
          <cell r="EH51">
            <v>1028.5999999999999</v>
          </cell>
          <cell r="EW51">
            <v>820</v>
          </cell>
          <cell r="FL51">
            <v>1158</v>
          </cell>
          <cell r="GA51">
            <v>1060</v>
          </cell>
        </row>
        <row r="52">
          <cell r="Q52">
            <v>2136.75</v>
          </cell>
          <cell r="AF52">
            <v>783</v>
          </cell>
          <cell r="AU52">
            <v>1039.5</v>
          </cell>
          <cell r="BJ52">
            <v>793.09999999999991</v>
          </cell>
          <cell r="BY52">
            <v>750.96</v>
          </cell>
          <cell r="CN52">
            <v>693</v>
          </cell>
          <cell r="DD52">
            <v>473.6</v>
          </cell>
          <cell r="DS52">
            <v>587.1</v>
          </cell>
          <cell r="EH52">
            <v>1095.5999999999999</v>
          </cell>
          <cell r="EW52">
            <v>1840</v>
          </cell>
          <cell r="FL52">
            <v>1720</v>
          </cell>
          <cell r="GA52">
            <v>2200</v>
          </cell>
        </row>
        <row r="53">
          <cell r="Q53">
            <v>462</v>
          </cell>
          <cell r="AF53">
            <v>957</v>
          </cell>
          <cell r="AU53">
            <v>242.55000000000004</v>
          </cell>
          <cell r="BJ53">
            <v>500.5</v>
          </cell>
          <cell r="BY53">
            <v>16994.940000000002</v>
          </cell>
          <cell r="CN53">
            <v>1256.6400000000001</v>
          </cell>
          <cell r="DD53">
            <v>1420.8</v>
          </cell>
          <cell r="DS53">
            <v>1013.5200000000001</v>
          </cell>
          <cell r="EH53">
            <v>730.4</v>
          </cell>
          <cell r="EW53">
            <v>880</v>
          </cell>
          <cell r="FL53">
            <v>560</v>
          </cell>
          <cell r="GA53">
            <v>1020</v>
          </cell>
        </row>
        <row r="54">
          <cell r="Q54">
            <v>346.5</v>
          </cell>
          <cell r="AF54">
            <v>217.5</v>
          </cell>
          <cell r="AU54">
            <v>308</v>
          </cell>
          <cell r="BJ54">
            <v>192.5</v>
          </cell>
          <cell r="BY54">
            <v>581.1</v>
          </cell>
          <cell r="CN54">
            <v>1293.5999999999999</v>
          </cell>
          <cell r="DD54">
            <v>236.8</v>
          </cell>
          <cell r="DS54">
            <v>525.29999999999995</v>
          </cell>
          <cell r="EH54">
            <v>282.2</v>
          </cell>
          <cell r="EW54">
            <v>360</v>
          </cell>
          <cell r="FL54">
            <v>1120</v>
          </cell>
          <cell r="GA54">
            <v>1720</v>
          </cell>
        </row>
        <row r="55">
          <cell r="Q55">
            <v>4620</v>
          </cell>
          <cell r="AF55">
            <v>4089</v>
          </cell>
          <cell r="AU55">
            <v>7815.5</v>
          </cell>
          <cell r="BJ55">
            <v>9278.5</v>
          </cell>
          <cell r="BY55">
            <v>7241.4</v>
          </cell>
          <cell r="CN55">
            <v>9563.4</v>
          </cell>
          <cell r="DD55">
            <v>6127.2</v>
          </cell>
          <cell r="DS55">
            <v>2410.1999999999998</v>
          </cell>
          <cell r="EH55">
            <v>2091.6</v>
          </cell>
          <cell r="EW55">
            <v>1024</v>
          </cell>
          <cell r="FL55">
            <v>2120</v>
          </cell>
          <cell r="GA55">
            <v>2080</v>
          </cell>
        </row>
        <row r="56">
          <cell r="Q56">
            <v>5775</v>
          </cell>
          <cell r="AF56">
            <v>5220</v>
          </cell>
          <cell r="AU56">
            <v>4235</v>
          </cell>
          <cell r="BJ56">
            <v>7931</v>
          </cell>
          <cell r="BY56">
            <v>5900.4</v>
          </cell>
          <cell r="CN56">
            <v>7576.8</v>
          </cell>
          <cell r="DD56">
            <v>4854.3999999999996</v>
          </cell>
          <cell r="DS56">
            <v>3399</v>
          </cell>
          <cell r="EH56">
            <v>5743.6</v>
          </cell>
          <cell r="EW56">
            <v>2400</v>
          </cell>
          <cell r="FL56">
            <v>2080</v>
          </cell>
          <cell r="GA56">
            <v>3560</v>
          </cell>
        </row>
        <row r="57">
          <cell r="Q57">
            <v>7700</v>
          </cell>
          <cell r="AF57">
            <v>10570.5</v>
          </cell>
          <cell r="AU57">
            <v>7988.75</v>
          </cell>
          <cell r="BJ57">
            <v>6699</v>
          </cell>
          <cell r="BY57">
            <v>3808.44</v>
          </cell>
          <cell r="CN57">
            <v>4851</v>
          </cell>
          <cell r="DD57">
            <v>5979.2</v>
          </cell>
          <cell r="DS57">
            <v>2472</v>
          </cell>
          <cell r="EH57">
            <v>3984</v>
          </cell>
          <cell r="EW57">
            <v>20504</v>
          </cell>
          <cell r="FL57">
            <v>20040</v>
          </cell>
          <cell r="GA57">
            <v>20920</v>
          </cell>
        </row>
        <row r="58">
          <cell r="Q58">
            <v>29692.75</v>
          </cell>
          <cell r="AF58">
            <v>14677.5</v>
          </cell>
          <cell r="AU58">
            <v>44617.600000000006</v>
          </cell>
          <cell r="BJ58">
            <v>35359.375</v>
          </cell>
          <cell r="BY58">
            <v>20157.900000000001</v>
          </cell>
          <cell r="CN58">
            <v>12222.63</v>
          </cell>
          <cell r="DD58">
            <v>6188.5950000000003</v>
          </cell>
          <cell r="DS58">
            <v>4182.78</v>
          </cell>
          <cell r="EH58">
            <v>3557.6510000000003</v>
          </cell>
          <cell r="EW58">
            <v>5170</v>
          </cell>
          <cell r="FL58">
            <v>6614.7</v>
          </cell>
          <cell r="GA58">
            <v>4860</v>
          </cell>
        </row>
        <row r="59">
          <cell r="Q59">
            <v>66690</v>
          </cell>
          <cell r="AF59">
            <v>75560.625</v>
          </cell>
          <cell r="AU59">
            <v>107730</v>
          </cell>
          <cell r="BJ59">
            <v>120127.5</v>
          </cell>
          <cell r="BY59">
            <v>76542.45</v>
          </cell>
          <cell r="CN59">
            <v>86973.345000000001</v>
          </cell>
          <cell r="DD59">
            <v>117583.30499999999</v>
          </cell>
          <cell r="DS59">
            <v>79472.820000000007</v>
          </cell>
          <cell r="EH59">
            <v>54417.372750000002</v>
          </cell>
          <cell r="EW59">
            <v>73672.5</v>
          </cell>
          <cell r="FL59">
            <v>37259.474999999999</v>
          </cell>
          <cell r="GA59">
            <v>75000</v>
          </cell>
        </row>
      </sheetData>
      <sheetData sheetId="6">
        <row r="5">
          <cell r="B5" t="str">
            <v>Ayam ayam</v>
          </cell>
        </row>
        <row r="6">
          <cell r="B6" t="str">
            <v>Bawal laut</v>
          </cell>
        </row>
        <row r="7">
          <cell r="B7" t="str">
            <v>Cakalang</v>
          </cell>
        </row>
        <row r="8">
          <cell r="B8" t="str">
            <v>Cendro</v>
          </cell>
        </row>
        <row r="10">
          <cell r="B10" t="str">
            <v>Ekor kuning</v>
          </cell>
        </row>
        <row r="11">
          <cell r="B11" t="str">
            <v>Gabus Laut</v>
          </cell>
        </row>
        <row r="12">
          <cell r="B12" t="str">
            <v>Gerot Gerot</v>
          </cell>
        </row>
        <row r="13">
          <cell r="B13" t="str">
            <v>Golok golok</v>
          </cell>
        </row>
        <row r="14">
          <cell r="B14" t="str">
            <v>Gulamah/Tigawaja/Samgeh</v>
          </cell>
        </row>
        <row r="16">
          <cell r="B16" t="str">
            <v>Kakap</v>
          </cell>
        </row>
        <row r="17">
          <cell r="B17" t="str">
            <v>Kakap Batu</v>
          </cell>
        </row>
        <row r="18">
          <cell r="B18" t="str">
            <v>Kakap Jenaha</v>
          </cell>
        </row>
        <row r="19">
          <cell r="B19" t="str">
            <v>Kakap Merah</v>
          </cell>
        </row>
        <row r="20">
          <cell r="B20" t="str">
            <v>Kapas kapas/Bagas</v>
          </cell>
        </row>
        <row r="21">
          <cell r="B21" t="str">
            <v>Kembung Lelaki</v>
          </cell>
        </row>
        <row r="22">
          <cell r="B22" t="str">
            <v>Kembung Perempuan</v>
          </cell>
        </row>
        <row r="23">
          <cell r="B23" t="str">
            <v>Kerapu</v>
          </cell>
        </row>
        <row r="24">
          <cell r="B24" t="str">
            <v>Kuniran/biji nangka</v>
          </cell>
        </row>
        <row r="25">
          <cell r="B25" t="str">
            <v>Kurisi</v>
          </cell>
        </row>
        <row r="26">
          <cell r="B26" t="str">
            <v>Kuro/Senangin/laosan</v>
          </cell>
        </row>
        <row r="27">
          <cell r="B27" t="str">
            <v>kuwe</v>
          </cell>
        </row>
        <row r="28">
          <cell r="B28" t="str">
            <v>kuwe gerong</v>
          </cell>
        </row>
        <row r="29">
          <cell r="B29" t="str">
            <v>Layang</v>
          </cell>
        </row>
        <row r="30">
          <cell r="B30" t="str">
            <v>layaran</v>
          </cell>
        </row>
        <row r="31">
          <cell r="B31" t="str">
            <v>Layur</v>
          </cell>
        </row>
        <row r="32">
          <cell r="B32" t="str">
            <v>Lemadang</v>
          </cell>
        </row>
        <row r="33">
          <cell r="B33" t="str">
            <v>Lencam</v>
          </cell>
        </row>
        <row r="37">
          <cell r="B37" t="str">
            <v>Manyung</v>
          </cell>
        </row>
        <row r="38">
          <cell r="B38" t="str">
            <v>Marlin</v>
          </cell>
        </row>
        <row r="39">
          <cell r="B39" t="str">
            <v>Nyunglas</v>
          </cell>
        </row>
        <row r="40">
          <cell r="B40" t="str">
            <v>Pari</v>
          </cell>
        </row>
        <row r="41">
          <cell r="B41" t="str">
            <v>Pedang</v>
          </cell>
        </row>
        <row r="42">
          <cell r="B42" t="str">
            <v>Peperek</v>
          </cell>
        </row>
        <row r="43">
          <cell r="B43" t="str">
            <v>Pinjalo</v>
          </cell>
        </row>
        <row r="44">
          <cell r="B44" t="str">
            <v>Pisang-pisang</v>
          </cell>
        </row>
        <row r="47">
          <cell r="B47" t="str">
            <v>Sebelah</v>
          </cell>
        </row>
        <row r="48">
          <cell r="B48" t="str">
            <v>Selar Bentong</v>
          </cell>
        </row>
        <row r="49">
          <cell r="B49" t="str">
            <v>Selar Kuning</v>
          </cell>
        </row>
        <row r="50">
          <cell r="B50" t="str">
            <v>Swanggi</v>
          </cell>
        </row>
        <row r="51">
          <cell r="B51" t="str">
            <v>Tenggiri</v>
          </cell>
        </row>
        <row r="52">
          <cell r="B52" t="str">
            <v>Tenggiri Papan</v>
          </cell>
        </row>
        <row r="53">
          <cell r="B53" t="str">
            <v>Tetengkek</v>
          </cell>
        </row>
        <row r="54">
          <cell r="B54" t="str">
            <v>Tongkol</v>
          </cell>
        </row>
        <row r="55">
          <cell r="B55" t="str">
            <v>Tongkol Abu-Abu</v>
          </cell>
        </row>
        <row r="56">
          <cell r="B56" t="str">
            <v>Tongkol Komo</v>
          </cell>
        </row>
        <row r="57">
          <cell r="B57" t="str">
            <v>Tongkol Kray</v>
          </cell>
        </row>
        <row r="58">
          <cell r="B58" t="str">
            <v>Tongkol Lisong</v>
          </cell>
        </row>
        <row r="59">
          <cell r="B59" t="str">
            <v>Tuna Mata Besar</v>
          </cell>
        </row>
        <row r="60">
          <cell r="B60" t="str">
            <v>Tuna Sirip Kuning</v>
          </cell>
        </row>
      </sheetData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D79FA-DF6A-4533-A1A1-1B22F62EB0C9}">
  <dimension ref="A1:O41"/>
  <sheetViews>
    <sheetView view="pageBreakPreview" zoomScaleNormal="100" zoomScaleSheetLayoutView="100" workbookViewId="0">
      <selection sqref="A1:XFD1"/>
    </sheetView>
  </sheetViews>
  <sheetFormatPr defaultColWidth="9.109375" defaultRowHeight="12" x14ac:dyDescent="0.25"/>
  <cols>
    <col min="1" max="1" width="18.33203125" style="29" bestFit="1" customWidth="1"/>
    <col min="2" max="2" width="23" style="29" customWidth="1"/>
    <col min="3" max="10" width="7.88671875" style="29" customWidth="1"/>
    <col min="11" max="11" width="8.88671875" style="29" customWidth="1"/>
    <col min="12" max="14" width="7.88671875" style="29" customWidth="1"/>
    <col min="15" max="15" width="9.5546875" style="29" customWidth="1"/>
    <col min="16" max="16384" width="9.109375" style="29"/>
  </cols>
  <sheetData>
    <row r="1" spans="1:15" s="1" customFormat="1" ht="14.4" x14ac:dyDescent="0.3">
      <c r="A1" s="35" t="s">
        <v>126</v>
      </c>
      <c r="B1" s="31" t="s">
        <v>127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  <c r="I1" s="3" t="s">
        <v>26</v>
      </c>
      <c r="J1" s="3" t="s">
        <v>27</v>
      </c>
      <c r="K1" s="6" t="s">
        <v>28</v>
      </c>
      <c r="L1" s="3" t="s">
        <v>29</v>
      </c>
      <c r="M1" s="3" t="s">
        <v>96</v>
      </c>
      <c r="N1" s="3" t="s">
        <v>97</v>
      </c>
      <c r="O1" s="32" t="s">
        <v>128</v>
      </c>
    </row>
    <row r="2" spans="1:15" x14ac:dyDescent="0.25">
      <c r="A2" s="34" t="s">
        <v>121</v>
      </c>
      <c r="B2" s="28" t="str">
        <f>'[1]Prod ikan rekap alat TPI'!B5</f>
        <v>Alu Alu/baracuda</v>
      </c>
      <c r="C2" s="28">
        <v>612.5</v>
      </c>
      <c r="D2" s="28">
        <v>700</v>
      </c>
      <c r="E2" s="28">
        <v>630</v>
      </c>
      <c r="F2" s="28">
        <v>352</v>
      </c>
      <c r="G2" s="28">
        <v>480</v>
      </c>
      <c r="H2" s="28">
        <v>320</v>
      </c>
      <c r="I2" s="28">
        <v>875</v>
      </c>
      <c r="J2" s="28">
        <v>1770</v>
      </c>
      <c r="K2" s="28">
        <v>645</v>
      </c>
      <c r="L2" s="27">
        <v>900</v>
      </c>
      <c r="M2" s="27">
        <v>1050</v>
      </c>
      <c r="N2" s="27">
        <v>0</v>
      </c>
      <c r="O2" s="30">
        <f t="shared" ref="O2:O40" si="0">SUM(C2:N2)</f>
        <v>8334.5</v>
      </c>
    </row>
    <row r="3" spans="1:15" x14ac:dyDescent="0.25">
      <c r="A3" s="34" t="s">
        <v>122</v>
      </c>
      <c r="B3" s="28" t="str">
        <f>'[1]Prod ikan rekap alat TPI'!B6</f>
        <v>Ayam ayam</v>
      </c>
      <c r="C3" s="28">
        <v>525</v>
      </c>
      <c r="D3" s="28">
        <v>700</v>
      </c>
      <c r="E3" s="28">
        <v>805</v>
      </c>
      <c r="F3" s="28">
        <v>800</v>
      </c>
      <c r="G3" s="28">
        <v>768</v>
      </c>
      <c r="H3" s="28">
        <v>704</v>
      </c>
      <c r="I3" s="28">
        <v>1851.5</v>
      </c>
      <c r="J3" s="28">
        <v>1872</v>
      </c>
      <c r="K3" s="28">
        <v>1770</v>
      </c>
      <c r="L3" s="27">
        <v>1290</v>
      </c>
      <c r="M3" s="27">
        <v>1200</v>
      </c>
      <c r="N3" s="27">
        <v>0</v>
      </c>
      <c r="O3" s="30">
        <f t="shared" si="0"/>
        <v>12285.5</v>
      </c>
    </row>
    <row r="4" spans="1:15" x14ac:dyDescent="0.25">
      <c r="A4" s="34" t="s">
        <v>121</v>
      </c>
      <c r="B4" s="28" t="s">
        <v>30</v>
      </c>
      <c r="C4" s="28">
        <v>21525</v>
      </c>
      <c r="D4" s="28">
        <v>4480</v>
      </c>
      <c r="E4" s="28">
        <v>10605</v>
      </c>
      <c r="F4" s="28">
        <v>8704</v>
      </c>
      <c r="G4" s="28">
        <v>1344</v>
      </c>
      <c r="H4" s="28">
        <v>1984</v>
      </c>
      <c r="I4" s="28">
        <v>1560</v>
      </c>
      <c r="J4" s="28">
        <v>870</v>
      </c>
      <c r="K4" s="28">
        <v>300</v>
      </c>
      <c r="L4" s="27">
        <v>510</v>
      </c>
      <c r="M4" s="27">
        <v>0</v>
      </c>
      <c r="N4" s="27">
        <v>1265</v>
      </c>
      <c r="O4" s="30">
        <f t="shared" si="0"/>
        <v>53147</v>
      </c>
    </row>
    <row r="5" spans="1:15" x14ac:dyDescent="0.25">
      <c r="A5" s="34" t="s">
        <v>123</v>
      </c>
      <c r="B5" s="28" t="str">
        <f>'[1]Prod ikan rekap alat TPI'!B8</f>
        <v>Bentong</v>
      </c>
      <c r="C5" s="28">
        <v>1820</v>
      </c>
      <c r="D5" s="28">
        <v>3710</v>
      </c>
      <c r="E5" s="28">
        <v>1225</v>
      </c>
      <c r="F5" s="28">
        <v>768</v>
      </c>
      <c r="G5" s="28">
        <v>1440</v>
      </c>
      <c r="H5" s="28">
        <v>1152</v>
      </c>
      <c r="I5" s="28">
        <v>450</v>
      </c>
      <c r="J5" s="28">
        <v>600</v>
      </c>
      <c r="K5" s="28">
        <v>690</v>
      </c>
      <c r="L5" s="27">
        <v>1050</v>
      </c>
      <c r="M5" s="27">
        <v>9000</v>
      </c>
      <c r="N5" s="27">
        <v>0</v>
      </c>
      <c r="O5" s="30">
        <f t="shared" si="0"/>
        <v>21905</v>
      </c>
    </row>
    <row r="6" spans="1:15" x14ac:dyDescent="0.25">
      <c r="A6" s="34" t="s">
        <v>121</v>
      </c>
      <c r="B6" s="28" t="str">
        <f>'[1]Prod ikan rekap alat TPI'!B9</f>
        <v>Cakalang</v>
      </c>
      <c r="C6" s="28">
        <v>102375</v>
      </c>
      <c r="D6" s="28">
        <v>133241.5</v>
      </c>
      <c r="E6" s="28">
        <v>179200</v>
      </c>
      <c r="F6" s="28">
        <v>217280</v>
      </c>
      <c r="G6" s="28">
        <v>190976</v>
      </c>
      <c r="H6" s="28">
        <v>133536</v>
      </c>
      <c r="I6" s="28">
        <v>210690</v>
      </c>
      <c r="J6" s="28">
        <v>183630</v>
      </c>
      <c r="K6" s="28">
        <v>210150</v>
      </c>
      <c r="L6" s="27">
        <v>230040</v>
      </c>
      <c r="M6" s="27">
        <v>184050</v>
      </c>
      <c r="N6" s="27">
        <v>167447.5</v>
      </c>
      <c r="O6" s="30">
        <f t="shared" si="0"/>
        <v>2142616</v>
      </c>
    </row>
    <row r="7" spans="1:15" x14ac:dyDescent="0.25">
      <c r="A7" s="34" t="s">
        <v>124</v>
      </c>
      <c r="B7" s="28" t="str">
        <f>'[1]Prod ikan rekap alat TPI'!B11</f>
        <v>Cucut</v>
      </c>
      <c r="C7" s="28">
        <v>1225</v>
      </c>
      <c r="D7" s="28">
        <v>525</v>
      </c>
      <c r="E7" s="28">
        <v>700</v>
      </c>
      <c r="F7" s="28">
        <v>1120</v>
      </c>
      <c r="G7" s="28">
        <v>2240</v>
      </c>
      <c r="H7" s="28">
        <v>384</v>
      </c>
      <c r="I7" s="28">
        <v>240</v>
      </c>
      <c r="J7" s="28">
        <v>300</v>
      </c>
      <c r="K7" s="28">
        <v>300</v>
      </c>
      <c r="L7" s="27">
        <v>360</v>
      </c>
      <c r="M7" s="27">
        <v>600</v>
      </c>
      <c r="N7" s="27">
        <v>0</v>
      </c>
      <c r="O7" s="30">
        <f t="shared" si="0"/>
        <v>7994</v>
      </c>
    </row>
    <row r="8" spans="1:15" x14ac:dyDescent="0.25">
      <c r="A8" s="34" t="s">
        <v>123</v>
      </c>
      <c r="B8" s="28" t="str">
        <f>'[1]Prod ikan rekap alat TPI'!B12</f>
        <v>Ekor kuning/Pisang-pisang/sunglir/salem</v>
      </c>
      <c r="C8" s="28">
        <v>4546.5</v>
      </c>
      <c r="D8" s="28">
        <v>15540</v>
      </c>
      <c r="E8" s="28">
        <v>4620</v>
      </c>
      <c r="F8" s="28">
        <v>4886.3999999999996</v>
      </c>
      <c r="G8" s="28">
        <v>3552</v>
      </c>
      <c r="H8" s="28">
        <v>2144</v>
      </c>
      <c r="I8" s="28">
        <v>4164</v>
      </c>
      <c r="J8" s="28">
        <v>4350</v>
      </c>
      <c r="K8" s="28">
        <v>8400</v>
      </c>
      <c r="L8" s="27">
        <v>5490</v>
      </c>
      <c r="M8" s="27">
        <v>6900</v>
      </c>
      <c r="N8" s="27">
        <v>4565</v>
      </c>
      <c r="O8" s="30">
        <f t="shared" si="0"/>
        <v>69157.899999999994</v>
      </c>
    </row>
    <row r="9" spans="1:15" x14ac:dyDescent="0.25">
      <c r="A9" s="34" t="s">
        <v>124</v>
      </c>
      <c r="B9" s="28" t="str">
        <f>'[1]Prod ikan rekap alat TPI'!B13</f>
        <v>Golok golok</v>
      </c>
      <c r="C9" s="28">
        <v>658</v>
      </c>
      <c r="D9" s="28">
        <v>931</v>
      </c>
      <c r="E9" s="28">
        <v>511</v>
      </c>
      <c r="F9" s="28">
        <v>1017.6</v>
      </c>
      <c r="G9" s="28">
        <v>1184</v>
      </c>
      <c r="H9" s="28">
        <v>1088</v>
      </c>
      <c r="I9" s="28">
        <v>1365</v>
      </c>
      <c r="J9" s="28">
        <v>990</v>
      </c>
      <c r="K9" s="28">
        <v>630</v>
      </c>
      <c r="L9" s="27">
        <v>480</v>
      </c>
      <c r="M9" s="27">
        <v>0</v>
      </c>
      <c r="N9" s="27">
        <v>1402.5</v>
      </c>
      <c r="O9" s="30">
        <f t="shared" si="0"/>
        <v>10257.1</v>
      </c>
    </row>
    <row r="10" spans="1:15" x14ac:dyDescent="0.25">
      <c r="A10" s="34" t="s">
        <v>124</v>
      </c>
      <c r="B10" s="28" t="str">
        <f>'[1]Prod ikan rekap alat TPI'!B14</f>
        <v>Gulamah/Tigawaja/Samgeh</v>
      </c>
      <c r="C10" s="28">
        <v>6195</v>
      </c>
      <c r="D10" s="28">
        <v>4095</v>
      </c>
      <c r="E10" s="28">
        <v>2625</v>
      </c>
      <c r="F10" s="28">
        <v>1376</v>
      </c>
      <c r="G10" s="28">
        <v>1088</v>
      </c>
      <c r="H10" s="28">
        <v>1728</v>
      </c>
      <c r="I10" s="28">
        <v>2370</v>
      </c>
      <c r="J10" s="28">
        <v>5685</v>
      </c>
      <c r="K10" s="28">
        <v>6300</v>
      </c>
      <c r="L10" s="27">
        <v>4500</v>
      </c>
      <c r="M10" s="27">
        <v>2880</v>
      </c>
      <c r="N10" s="27">
        <v>10120</v>
      </c>
      <c r="O10" s="30">
        <f t="shared" si="0"/>
        <v>48962</v>
      </c>
    </row>
    <row r="11" spans="1:15" x14ac:dyDescent="0.25">
      <c r="A11" s="34" t="s">
        <v>121</v>
      </c>
      <c r="B11" s="28" t="str">
        <f>'[1]Prod ikan rekap alat TPI'!B15</f>
        <v>ikan pedang</v>
      </c>
      <c r="C11" s="28">
        <v>157.5</v>
      </c>
      <c r="D11" s="28">
        <v>700</v>
      </c>
      <c r="E11" s="28">
        <v>656.25</v>
      </c>
      <c r="F11" s="28">
        <v>480</v>
      </c>
      <c r="G11" s="28">
        <v>800</v>
      </c>
      <c r="H11" s="28">
        <v>1440</v>
      </c>
      <c r="I11" s="28">
        <v>3000</v>
      </c>
      <c r="J11" s="28">
        <v>3600</v>
      </c>
      <c r="K11" s="28">
        <v>3000</v>
      </c>
      <c r="L11" s="27">
        <v>0</v>
      </c>
      <c r="M11" s="27">
        <v>0</v>
      </c>
      <c r="N11" s="27">
        <v>302.5</v>
      </c>
      <c r="O11" s="30">
        <f t="shared" si="0"/>
        <v>14136.25</v>
      </c>
    </row>
    <row r="12" spans="1:15" x14ac:dyDescent="0.25">
      <c r="A12" s="34" t="s">
        <v>124</v>
      </c>
      <c r="B12" s="28" t="str">
        <f>'[1]Prod ikan rekap alat TPI'!B16</f>
        <v>Ikan sebelah</v>
      </c>
      <c r="C12" s="28">
        <v>385</v>
      </c>
      <c r="D12" s="28">
        <v>315</v>
      </c>
      <c r="E12" s="28">
        <v>735</v>
      </c>
      <c r="F12" s="28">
        <v>905.6</v>
      </c>
      <c r="G12" s="28">
        <v>576</v>
      </c>
      <c r="H12" s="28">
        <v>256</v>
      </c>
      <c r="I12" s="28">
        <v>831</v>
      </c>
      <c r="J12" s="28">
        <v>720</v>
      </c>
      <c r="K12" s="28">
        <v>510</v>
      </c>
      <c r="L12" s="27">
        <v>570</v>
      </c>
      <c r="M12" s="27">
        <v>0</v>
      </c>
      <c r="N12" s="27">
        <v>550</v>
      </c>
      <c r="O12" s="30">
        <f t="shared" si="0"/>
        <v>6353.6</v>
      </c>
    </row>
    <row r="13" spans="1:15" x14ac:dyDescent="0.25">
      <c r="A13" s="34" t="s">
        <v>123</v>
      </c>
      <c r="B13" s="28" t="str">
        <f>'[1]Prod ikan rekap alat TPI'!B17</f>
        <v>Japuh</v>
      </c>
      <c r="C13" s="28">
        <v>1050</v>
      </c>
      <c r="D13" s="28">
        <v>1400</v>
      </c>
      <c r="E13" s="28">
        <v>1505</v>
      </c>
      <c r="F13" s="28">
        <v>0</v>
      </c>
      <c r="G13" s="28">
        <v>1088</v>
      </c>
      <c r="H13" s="28">
        <v>800</v>
      </c>
      <c r="I13" s="28">
        <v>600</v>
      </c>
      <c r="J13" s="28">
        <v>600</v>
      </c>
      <c r="K13" s="28">
        <v>690</v>
      </c>
      <c r="L13" s="27">
        <v>0</v>
      </c>
      <c r="M13" s="27">
        <v>0</v>
      </c>
      <c r="N13" s="27">
        <v>0</v>
      </c>
      <c r="O13" s="30">
        <f t="shared" si="0"/>
        <v>7733</v>
      </c>
    </row>
    <row r="14" spans="1:15" x14ac:dyDescent="0.25">
      <c r="A14" s="34" t="s">
        <v>122</v>
      </c>
      <c r="B14" s="28" t="s">
        <v>31</v>
      </c>
      <c r="C14" s="28">
        <v>630</v>
      </c>
      <c r="D14" s="28">
        <v>234.5</v>
      </c>
      <c r="E14" s="28">
        <v>1540</v>
      </c>
      <c r="F14" s="28">
        <v>2144</v>
      </c>
      <c r="G14" s="28">
        <v>352</v>
      </c>
      <c r="H14" s="28">
        <v>288</v>
      </c>
      <c r="I14" s="28">
        <v>870</v>
      </c>
      <c r="J14" s="28">
        <v>600</v>
      </c>
      <c r="K14" s="28">
        <v>270</v>
      </c>
      <c r="L14" s="27">
        <v>330</v>
      </c>
      <c r="M14" s="27">
        <v>0</v>
      </c>
      <c r="N14" s="27">
        <v>495</v>
      </c>
      <c r="O14" s="30">
        <f t="shared" si="0"/>
        <v>7753.5</v>
      </c>
    </row>
    <row r="15" spans="1:15" x14ac:dyDescent="0.25">
      <c r="A15" s="34" t="s">
        <v>122</v>
      </c>
      <c r="B15" s="28" t="str">
        <f>'[1]Prod ikan rekap alat TPI'!B19</f>
        <v>Kakap Merah</v>
      </c>
      <c r="C15" s="28">
        <v>21070</v>
      </c>
      <c r="D15" s="28">
        <v>1960</v>
      </c>
      <c r="E15" s="28">
        <v>4025</v>
      </c>
      <c r="F15" s="28">
        <v>736</v>
      </c>
      <c r="G15" s="28">
        <v>3136</v>
      </c>
      <c r="H15" s="28">
        <v>1600</v>
      </c>
      <c r="I15" s="28">
        <v>2250</v>
      </c>
      <c r="J15" s="28">
        <v>1128</v>
      </c>
      <c r="K15" s="28">
        <v>960</v>
      </c>
      <c r="L15" s="27">
        <v>795</v>
      </c>
      <c r="M15" s="27">
        <v>1200</v>
      </c>
      <c r="N15" s="27">
        <v>3437.5</v>
      </c>
      <c r="O15" s="30">
        <f t="shared" si="0"/>
        <v>42297.5</v>
      </c>
    </row>
    <row r="16" spans="1:15" x14ac:dyDescent="0.25">
      <c r="A16" s="34" t="s">
        <v>123</v>
      </c>
      <c r="B16" s="28" t="str">
        <f>'[1]Prod ikan rekap alat TPI'!B20</f>
        <v>Kapas kapas</v>
      </c>
      <c r="C16" s="28">
        <v>14105</v>
      </c>
      <c r="D16" s="28">
        <v>10220</v>
      </c>
      <c r="E16" s="28">
        <v>2765</v>
      </c>
      <c r="F16" s="28">
        <v>1664</v>
      </c>
      <c r="G16" s="28">
        <v>4224</v>
      </c>
      <c r="H16" s="28">
        <v>1472</v>
      </c>
      <c r="I16" s="28">
        <v>2550</v>
      </c>
      <c r="J16" s="28">
        <v>6210</v>
      </c>
      <c r="K16" s="28">
        <v>11550</v>
      </c>
      <c r="L16" s="27">
        <v>14430</v>
      </c>
      <c r="M16" s="27">
        <v>13650</v>
      </c>
      <c r="N16" s="27">
        <v>14025</v>
      </c>
      <c r="O16" s="30">
        <f t="shared" si="0"/>
        <v>96865</v>
      </c>
    </row>
    <row r="17" spans="1:15" x14ac:dyDescent="0.25">
      <c r="A17" s="34" t="s">
        <v>123</v>
      </c>
      <c r="B17" s="28" t="str">
        <f>'[1]Prod ikan rekap alat TPI'!B21</f>
        <v>Kembung</v>
      </c>
      <c r="C17" s="28">
        <v>17745</v>
      </c>
      <c r="D17" s="28">
        <v>5005</v>
      </c>
      <c r="E17" s="28">
        <v>5757.5</v>
      </c>
      <c r="F17" s="28">
        <v>5571.2</v>
      </c>
      <c r="G17" s="28">
        <v>1504</v>
      </c>
      <c r="H17" s="28">
        <v>1030.4000000000001</v>
      </c>
      <c r="I17" s="28">
        <v>2220</v>
      </c>
      <c r="J17" s="28">
        <v>1740</v>
      </c>
      <c r="K17" s="28">
        <v>3780</v>
      </c>
      <c r="L17" s="27">
        <v>3150</v>
      </c>
      <c r="M17" s="27">
        <v>3420</v>
      </c>
      <c r="N17" s="27">
        <v>4125</v>
      </c>
      <c r="O17" s="30">
        <f t="shared" si="0"/>
        <v>55048.1</v>
      </c>
    </row>
    <row r="18" spans="1:15" x14ac:dyDescent="0.25">
      <c r="A18" s="34" t="s">
        <v>122</v>
      </c>
      <c r="B18" s="28" t="str">
        <f>'[1]Prod ikan rekap alat TPI'!B22</f>
        <v>Kerapu</v>
      </c>
      <c r="C18" s="28">
        <v>560</v>
      </c>
      <c r="D18" s="28">
        <v>1190</v>
      </c>
      <c r="E18" s="28">
        <v>595</v>
      </c>
      <c r="F18" s="28">
        <v>1024</v>
      </c>
      <c r="G18" s="28">
        <v>768</v>
      </c>
      <c r="H18" s="28">
        <v>352</v>
      </c>
      <c r="I18" s="28">
        <v>720</v>
      </c>
      <c r="J18" s="28">
        <v>591</v>
      </c>
      <c r="K18" s="28">
        <v>420</v>
      </c>
      <c r="L18" s="27">
        <v>660</v>
      </c>
      <c r="M18" s="27">
        <v>420</v>
      </c>
      <c r="N18" s="27">
        <v>495</v>
      </c>
      <c r="O18" s="30">
        <f t="shared" si="0"/>
        <v>7795</v>
      </c>
    </row>
    <row r="19" spans="1:15" x14ac:dyDescent="0.25">
      <c r="A19" s="34" t="s">
        <v>122</v>
      </c>
      <c r="B19" s="28" t="str">
        <f>'[1]Prod ikan rekap alat TPI'!B23</f>
        <v>kuwe</v>
      </c>
      <c r="C19" s="28">
        <v>6615</v>
      </c>
      <c r="D19" s="28">
        <v>11690</v>
      </c>
      <c r="E19" s="28">
        <v>4550</v>
      </c>
      <c r="F19" s="28">
        <v>3680</v>
      </c>
      <c r="G19" s="28">
        <v>8384</v>
      </c>
      <c r="H19" s="28">
        <v>6512</v>
      </c>
      <c r="I19" s="28">
        <v>4950</v>
      </c>
      <c r="J19" s="28">
        <v>7200</v>
      </c>
      <c r="K19" s="28">
        <v>5580</v>
      </c>
      <c r="L19" s="27">
        <v>9690</v>
      </c>
      <c r="M19" s="27">
        <v>6900</v>
      </c>
      <c r="N19" s="27">
        <v>5912.5</v>
      </c>
      <c r="O19" s="30">
        <f t="shared" si="0"/>
        <v>81663.5</v>
      </c>
    </row>
    <row r="20" spans="1:15" x14ac:dyDescent="0.25">
      <c r="A20" s="34" t="s">
        <v>124</v>
      </c>
      <c r="B20" s="28" t="str">
        <f>'[1]Prod ikan rekap alat TPI'!B24</f>
        <v>Kuniran/biji nangka</v>
      </c>
      <c r="C20" s="28">
        <v>1750</v>
      </c>
      <c r="D20" s="28">
        <v>2345</v>
      </c>
      <c r="E20" s="28">
        <v>630</v>
      </c>
      <c r="F20" s="28">
        <v>1344</v>
      </c>
      <c r="G20" s="28">
        <v>288</v>
      </c>
      <c r="H20" s="28">
        <v>416</v>
      </c>
      <c r="I20" s="28">
        <v>10683</v>
      </c>
      <c r="J20" s="28">
        <v>1302</v>
      </c>
      <c r="K20" s="28">
        <v>525</v>
      </c>
      <c r="L20" s="27">
        <v>660</v>
      </c>
      <c r="M20" s="27">
        <v>450</v>
      </c>
      <c r="N20" s="27">
        <v>825</v>
      </c>
      <c r="O20" s="30">
        <f t="shared" si="0"/>
        <v>21218</v>
      </c>
    </row>
    <row r="21" spans="1:15" x14ac:dyDescent="0.25">
      <c r="A21" s="34" t="s">
        <v>124</v>
      </c>
      <c r="B21" s="28" t="str">
        <f>'[1]Prod ikan rekap alat TPI'!B25</f>
        <v>Kurisi</v>
      </c>
      <c r="C21" s="28">
        <v>1855</v>
      </c>
      <c r="D21" s="28">
        <v>1890</v>
      </c>
      <c r="E21" s="28">
        <v>1680</v>
      </c>
      <c r="F21" s="28">
        <v>1376</v>
      </c>
      <c r="G21" s="28">
        <v>1849.6</v>
      </c>
      <c r="H21" s="28">
        <v>921.6</v>
      </c>
      <c r="I21" s="28">
        <v>1896</v>
      </c>
      <c r="J21" s="28">
        <v>7956</v>
      </c>
      <c r="K21" s="28">
        <v>6600</v>
      </c>
      <c r="L21" s="27">
        <v>19500</v>
      </c>
      <c r="M21" s="27">
        <v>25800</v>
      </c>
      <c r="N21" s="27">
        <v>6050</v>
      </c>
      <c r="O21" s="30">
        <f t="shared" si="0"/>
        <v>77374.2</v>
      </c>
    </row>
    <row r="22" spans="1:15" x14ac:dyDescent="0.25">
      <c r="A22" s="34" t="s">
        <v>123</v>
      </c>
      <c r="B22" s="28" t="str">
        <f>'[1]Prod ikan rekap alat TPI'!B26</f>
        <v>Laosan</v>
      </c>
      <c r="C22" s="28">
        <v>12600</v>
      </c>
      <c r="D22" s="28">
        <v>9800</v>
      </c>
      <c r="E22" s="28">
        <v>3360</v>
      </c>
      <c r="F22" s="28">
        <v>2464</v>
      </c>
      <c r="G22" s="28">
        <v>1728</v>
      </c>
      <c r="H22" s="28">
        <v>448</v>
      </c>
      <c r="I22" s="28">
        <v>9360</v>
      </c>
      <c r="J22" s="28">
        <v>6030</v>
      </c>
      <c r="K22" s="28">
        <v>10860</v>
      </c>
      <c r="L22" s="27">
        <v>8280</v>
      </c>
      <c r="M22" s="27">
        <v>6750</v>
      </c>
      <c r="N22" s="27">
        <v>8910</v>
      </c>
      <c r="O22" s="30">
        <f t="shared" si="0"/>
        <v>80590</v>
      </c>
    </row>
    <row r="23" spans="1:15" x14ac:dyDescent="0.25">
      <c r="A23" s="34" t="s">
        <v>123</v>
      </c>
      <c r="B23" s="28" t="str">
        <f>'[1]Prod ikan rekap alat TPI'!B27</f>
        <v>Layang</v>
      </c>
      <c r="C23" s="28">
        <v>20650</v>
      </c>
      <c r="D23" s="28">
        <v>44275</v>
      </c>
      <c r="E23" s="28">
        <v>49875</v>
      </c>
      <c r="F23" s="28">
        <v>48320</v>
      </c>
      <c r="G23" s="28">
        <v>16192</v>
      </c>
      <c r="H23" s="28">
        <v>12352</v>
      </c>
      <c r="I23" s="28">
        <v>32460</v>
      </c>
      <c r="J23" s="28">
        <v>24960</v>
      </c>
      <c r="K23" s="28">
        <v>22920</v>
      </c>
      <c r="L23" s="27">
        <v>20550</v>
      </c>
      <c r="M23" s="27">
        <v>17400</v>
      </c>
      <c r="N23" s="27">
        <v>12650</v>
      </c>
      <c r="O23" s="30">
        <f t="shared" si="0"/>
        <v>322604</v>
      </c>
    </row>
    <row r="24" spans="1:15" x14ac:dyDescent="0.25">
      <c r="A24" s="34" t="s">
        <v>121</v>
      </c>
      <c r="B24" s="28" t="str">
        <f>'[1]Prod ikan rekap alat TPI'!B28</f>
        <v>layaran</v>
      </c>
      <c r="C24" s="28">
        <v>805</v>
      </c>
      <c r="D24" s="28">
        <v>4200</v>
      </c>
      <c r="E24" s="28">
        <v>1470</v>
      </c>
      <c r="F24" s="28">
        <v>1888</v>
      </c>
      <c r="G24" s="28">
        <v>3968</v>
      </c>
      <c r="H24" s="28">
        <v>8704</v>
      </c>
      <c r="I24" s="28">
        <v>15690</v>
      </c>
      <c r="J24" s="28">
        <v>9600</v>
      </c>
      <c r="K24" s="28">
        <v>21390</v>
      </c>
      <c r="L24" s="27">
        <v>18450</v>
      </c>
      <c r="M24" s="27">
        <v>27060</v>
      </c>
      <c r="N24" s="27">
        <v>27775</v>
      </c>
      <c r="O24" s="30">
        <f t="shared" si="0"/>
        <v>141000</v>
      </c>
    </row>
    <row r="25" spans="1:15" x14ac:dyDescent="0.25">
      <c r="A25" s="34" t="s">
        <v>123</v>
      </c>
      <c r="B25" s="28" t="str">
        <f>'[1]Prod ikan rekap alat TPI'!B29</f>
        <v>Layur</v>
      </c>
      <c r="C25" s="28">
        <v>26635</v>
      </c>
      <c r="D25" s="28">
        <v>26740</v>
      </c>
      <c r="E25" s="28">
        <v>7385</v>
      </c>
      <c r="F25" s="28">
        <v>6272</v>
      </c>
      <c r="G25" s="28">
        <v>7840</v>
      </c>
      <c r="H25" s="28">
        <v>4902.3999999999996</v>
      </c>
      <c r="I25" s="28">
        <v>31560</v>
      </c>
      <c r="J25" s="28">
        <v>61800</v>
      </c>
      <c r="K25" s="28">
        <v>54300</v>
      </c>
      <c r="L25" s="27">
        <v>63300</v>
      </c>
      <c r="M25" s="27">
        <v>58440</v>
      </c>
      <c r="N25" s="27">
        <v>44550</v>
      </c>
      <c r="O25" s="30">
        <f t="shared" si="0"/>
        <v>393724.4</v>
      </c>
    </row>
    <row r="26" spans="1:15" x14ac:dyDescent="0.25">
      <c r="A26" s="34" t="s">
        <v>121</v>
      </c>
      <c r="B26" s="28" t="str">
        <f>'[1]Prod ikan rekap alat TPI'!B31</f>
        <v>Lemadang</v>
      </c>
      <c r="C26" s="28">
        <v>12250</v>
      </c>
      <c r="D26" s="28">
        <v>12460</v>
      </c>
      <c r="E26" s="28">
        <v>30065</v>
      </c>
      <c r="F26" s="28">
        <v>30784</v>
      </c>
      <c r="G26" s="28">
        <v>18521.599999999999</v>
      </c>
      <c r="H26" s="28">
        <v>18521.599999999999</v>
      </c>
      <c r="I26" s="28">
        <v>18210</v>
      </c>
      <c r="J26" s="28">
        <v>12900</v>
      </c>
      <c r="K26" s="28">
        <v>16920</v>
      </c>
      <c r="L26" s="27">
        <v>10830</v>
      </c>
      <c r="M26" s="27">
        <v>6900</v>
      </c>
      <c r="N26" s="27">
        <v>3987.5</v>
      </c>
      <c r="O26" s="30">
        <f t="shared" si="0"/>
        <v>192349.7</v>
      </c>
    </row>
    <row r="27" spans="1:15" x14ac:dyDescent="0.25">
      <c r="A27" s="34" t="s">
        <v>124</v>
      </c>
      <c r="B27" s="28" t="s">
        <v>32</v>
      </c>
      <c r="C27" s="28">
        <v>924</v>
      </c>
      <c r="D27" s="28">
        <v>5775</v>
      </c>
      <c r="E27" s="28">
        <v>7175</v>
      </c>
      <c r="F27" s="28">
        <v>7072</v>
      </c>
      <c r="G27" s="28">
        <v>12032</v>
      </c>
      <c r="H27" s="28">
        <v>8064</v>
      </c>
      <c r="I27" s="28">
        <v>1290</v>
      </c>
      <c r="J27" s="28">
        <v>1170</v>
      </c>
      <c r="K27" s="28">
        <v>810</v>
      </c>
      <c r="L27" s="27">
        <v>540</v>
      </c>
      <c r="M27" s="27">
        <v>0</v>
      </c>
      <c r="N27" s="27">
        <v>990</v>
      </c>
      <c r="O27" s="30">
        <f t="shared" si="0"/>
        <v>45842</v>
      </c>
    </row>
    <row r="28" spans="1:15" x14ac:dyDescent="0.25">
      <c r="A28" s="34" t="s">
        <v>121</v>
      </c>
      <c r="B28" s="28" t="str">
        <f>'[1]Prod ikan rekap alat TPI'!B33</f>
        <v>Marlin</v>
      </c>
      <c r="C28" s="28">
        <v>3066</v>
      </c>
      <c r="D28" s="28">
        <v>735</v>
      </c>
      <c r="E28" s="28">
        <v>1505</v>
      </c>
      <c r="F28" s="28">
        <v>1913.6</v>
      </c>
      <c r="G28" s="28">
        <v>601.6</v>
      </c>
      <c r="H28" s="28">
        <v>416</v>
      </c>
      <c r="I28" s="28">
        <v>19200</v>
      </c>
      <c r="J28" s="28">
        <v>9000</v>
      </c>
      <c r="K28" s="28">
        <v>15150</v>
      </c>
      <c r="L28" s="27">
        <v>12060</v>
      </c>
      <c r="M28" s="27">
        <v>23400</v>
      </c>
      <c r="N28" s="27">
        <v>22825</v>
      </c>
      <c r="O28" s="30">
        <f t="shared" si="0"/>
        <v>109872.2</v>
      </c>
    </row>
    <row r="29" spans="1:15" x14ac:dyDescent="0.25">
      <c r="A29" s="34" t="s">
        <v>124</v>
      </c>
      <c r="B29" s="28" t="str">
        <f>'[1]Prod ikan rekap alat TPI'!B34</f>
        <v>Pari</v>
      </c>
      <c r="C29" s="28">
        <v>980</v>
      </c>
      <c r="D29" s="28">
        <v>1120</v>
      </c>
      <c r="E29" s="28">
        <v>1680</v>
      </c>
      <c r="F29" s="28">
        <v>1152</v>
      </c>
      <c r="G29" s="28">
        <v>2016</v>
      </c>
      <c r="H29" s="28">
        <v>992</v>
      </c>
      <c r="I29" s="28">
        <v>2070</v>
      </c>
      <c r="J29" s="28">
        <v>840</v>
      </c>
      <c r="K29" s="28">
        <v>240</v>
      </c>
      <c r="L29" s="27">
        <v>420</v>
      </c>
      <c r="M29" s="27">
        <v>300</v>
      </c>
      <c r="N29" s="27">
        <v>550</v>
      </c>
      <c r="O29" s="30">
        <f t="shared" si="0"/>
        <v>12360</v>
      </c>
    </row>
    <row r="30" spans="1:15" x14ac:dyDescent="0.25">
      <c r="A30" s="34" t="s">
        <v>123</v>
      </c>
      <c r="B30" s="28" t="str">
        <f>'[1]Prod ikan rekap alat TPI'!B35</f>
        <v>Peperek</v>
      </c>
      <c r="C30" s="28">
        <v>1144.5</v>
      </c>
      <c r="D30" s="28">
        <v>3045</v>
      </c>
      <c r="E30" s="28">
        <v>805</v>
      </c>
      <c r="F30" s="28">
        <v>672</v>
      </c>
      <c r="G30" s="28">
        <v>601.6</v>
      </c>
      <c r="H30" s="28">
        <v>384</v>
      </c>
      <c r="I30" s="28">
        <v>2400</v>
      </c>
      <c r="J30" s="28">
        <v>2010</v>
      </c>
      <c r="K30" s="28">
        <v>1590</v>
      </c>
      <c r="L30" s="27">
        <v>1320</v>
      </c>
      <c r="M30" s="27">
        <v>990</v>
      </c>
      <c r="N30" s="27">
        <v>550</v>
      </c>
      <c r="O30" s="30">
        <f t="shared" si="0"/>
        <v>15512.1</v>
      </c>
    </row>
    <row r="31" spans="1:15" x14ac:dyDescent="0.25">
      <c r="A31" s="34" t="s">
        <v>121</v>
      </c>
      <c r="B31" s="28" t="str">
        <f>'[1]Prod ikan rekap alat TPI'!B37</f>
        <v>Swanggi</v>
      </c>
      <c r="C31" s="28">
        <v>210</v>
      </c>
      <c r="D31" s="28">
        <v>420</v>
      </c>
      <c r="E31" s="28">
        <v>420</v>
      </c>
      <c r="F31" s="28">
        <v>768</v>
      </c>
      <c r="G31" s="28">
        <v>348.8</v>
      </c>
      <c r="H31" s="28">
        <v>672</v>
      </c>
      <c r="I31" s="28">
        <v>1038</v>
      </c>
      <c r="J31" s="28">
        <v>858</v>
      </c>
      <c r="K31" s="28">
        <v>900</v>
      </c>
      <c r="L31" s="27">
        <v>1260</v>
      </c>
      <c r="M31" s="27">
        <v>1110</v>
      </c>
      <c r="N31" s="27">
        <v>907.5</v>
      </c>
      <c r="O31" s="30">
        <f t="shared" si="0"/>
        <v>8912.2999999999993</v>
      </c>
    </row>
    <row r="32" spans="1:15" x14ac:dyDescent="0.25">
      <c r="A32" s="34" t="s">
        <v>123</v>
      </c>
      <c r="B32" s="28" t="str">
        <f>'[1]Prod ikan rekap alat TPI'!B38</f>
        <v>Selar</v>
      </c>
      <c r="C32" s="28">
        <v>1820</v>
      </c>
      <c r="D32" s="28">
        <v>4900</v>
      </c>
      <c r="E32" s="28">
        <v>1505</v>
      </c>
      <c r="F32" s="28">
        <v>1824</v>
      </c>
      <c r="G32" s="28">
        <v>4928</v>
      </c>
      <c r="H32" s="28">
        <v>1030.4000000000001</v>
      </c>
      <c r="I32" s="28">
        <v>1590</v>
      </c>
      <c r="J32" s="28">
        <v>3450</v>
      </c>
      <c r="K32" s="28">
        <v>9840</v>
      </c>
      <c r="L32" s="27">
        <v>6300</v>
      </c>
      <c r="M32" s="27">
        <v>3960</v>
      </c>
      <c r="N32" s="27">
        <v>4400</v>
      </c>
      <c r="O32" s="30">
        <f t="shared" si="0"/>
        <v>45547.4</v>
      </c>
    </row>
    <row r="33" spans="1:15" x14ac:dyDescent="0.25">
      <c r="A33" s="34" t="s">
        <v>124</v>
      </c>
      <c r="B33" s="28" t="str">
        <f>'[1]Prod ikan rekap alat TPI'!B39</f>
        <v>Tambakan</v>
      </c>
      <c r="C33" s="28">
        <v>875</v>
      </c>
      <c r="D33" s="28">
        <v>700</v>
      </c>
      <c r="E33" s="28">
        <v>875</v>
      </c>
      <c r="F33" s="28">
        <v>1440</v>
      </c>
      <c r="G33" s="28">
        <v>640</v>
      </c>
      <c r="H33" s="28">
        <v>560</v>
      </c>
      <c r="I33" s="28">
        <v>0</v>
      </c>
      <c r="J33" s="28">
        <v>0</v>
      </c>
      <c r="K33" s="28">
        <v>300</v>
      </c>
      <c r="L33" s="27">
        <v>90</v>
      </c>
      <c r="M33" s="27">
        <v>90</v>
      </c>
      <c r="N33" s="27">
        <v>0</v>
      </c>
      <c r="O33" s="30">
        <f t="shared" si="0"/>
        <v>5570</v>
      </c>
    </row>
    <row r="34" spans="1:15" x14ac:dyDescent="0.25">
      <c r="A34" s="34" t="s">
        <v>123</v>
      </c>
      <c r="B34" s="28" t="str">
        <f>'[1]Prod ikan rekap alat TPI'!B40</f>
        <v>Tembang</v>
      </c>
      <c r="C34" s="28">
        <v>1225</v>
      </c>
      <c r="D34" s="28">
        <v>1050</v>
      </c>
      <c r="E34" s="28">
        <v>1400</v>
      </c>
      <c r="F34" s="28">
        <v>1392</v>
      </c>
      <c r="G34" s="28">
        <v>1734.4</v>
      </c>
      <c r="H34" s="28">
        <v>1120</v>
      </c>
      <c r="I34" s="28">
        <v>1530</v>
      </c>
      <c r="J34" s="28">
        <v>360</v>
      </c>
      <c r="K34" s="28">
        <v>450</v>
      </c>
      <c r="L34" s="27">
        <v>0</v>
      </c>
      <c r="M34" s="27">
        <v>0</v>
      </c>
      <c r="N34" s="27">
        <v>0</v>
      </c>
      <c r="O34" s="30">
        <f t="shared" si="0"/>
        <v>10261.4</v>
      </c>
    </row>
    <row r="35" spans="1:15" x14ac:dyDescent="0.25">
      <c r="A35" s="34" t="s">
        <v>121</v>
      </c>
      <c r="B35" s="28" t="str">
        <f>'[1]Prod ikan rekap alat TPI'!B41</f>
        <v>Tenggiri</v>
      </c>
      <c r="C35" s="28">
        <v>4900</v>
      </c>
      <c r="D35" s="28">
        <v>5827.5</v>
      </c>
      <c r="E35" s="28">
        <v>3541.125</v>
      </c>
      <c r="F35" s="28">
        <v>2736</v>
      </c>
      <c r="G35" s="28">
        <v>4236.8</v>
      </c>
      <c r="H35" s="28">
        <v>3392</v>
      </c>
      <c r="I35" s="28">
        <v>5940</v>
      </c>
      <c r="J35" s="28">
        <v>4950</v>
      </c>
      <c r="K35" s="28">
        <v>5430</v>
      </c>
      <c r="L35" s="27">
        <v>6330</v>
      </c>
      <c r="M35" s="27">
        <v>4530</v>
      </c>
      <c r="N35" s="27">
        <v>6462.5</v>
      </c>
      <c r="O35" s="30">
        <f t="shared" si="0"/>
        <v>58275.925000000003</v>
      </c>
    </row>
    <row r="36" spans="1:15" x14ac:dyDescent="0.25">
      <c r="A36" s="34" t="s">
        <v>123</v>
      </c>
      <c r="B36" s="28" t="str">
        <f>'[1]Prod ikan rekap alat TPI'!B42</f>
        <v>Tetengkek</v>
      </c>
      <c r="C36" s="28">
        <v>420</v>
      </c>
      <c r="D36" s="28">
        <v>1750</v>
      </c>
      <c r="E36" s="28">
        <v>2205</v>
      </c>
      <c r="F36" s="28">
        <v>736</v>
      </c>
      <c r="G36" s="28">
        <v>1344</v>
      </c>
      <c r="H36" s="28">
        <v>704</v>
      </c>
      <c r="I36" s="28">
        <v>1650</v>
      </c>
      <c r="J36" s="28">
        <v>684</v>
      </c>
      <c r="K36" s="28">
        <v>630</v>
      </c>
      <c r="L36" s="27">
        <v>990</v>
      </c>
      <c r="M36" s="27">
        <v>0</v>
      </c>
      <c r="N36" s="27">
        <v>1045</v>
      </c>
      <c r="O36" s="30">
        <f t="shared" si="0"/>
        <v>12158</v>
      </c>
    </row>
    <row r="37" spans="1:15" x14ac:dyDescent="0.25">
      <c r="A37" s="34" t="s">
        <v>121</v>
      </c>
      <c r="B37" s="28" t="str">
        <f>'[1]Prod ikan rekap alat TPI'!B43</f>
        <v>Tongkol</v>
      </c>
      <c r="C37" s="28">
        <v>50680</v>
      </c>
      <c r="D37" s="28">
        <v>45920</v>
      </c>
      <c r="E37" s="28">
        <v>30821</v>
      </c>
      <c r="F37" s="28">
        <v>30240</v>
      </c>
      <c r="G37" s="28">
        <v>5856</v>
      </c>
      <c r="H37" s="28">
        <v>28928</v>
      </c>
      <c r="I37" s="28">
        <v>112500</v>
      </c>
      <c r="J37" s="28">
        <v>56148</v>
      </c>
      <c r="K37" s="28">
        <v>54240</v>
      </c>
      <c r="L37" s="27">
        <v>61125</v>
      </c>
      <c r="M37" s="27">
        <v>36360</v>
      </c>
      <c r="N37" s="27">
        <v>40122.5</v>
      </c>
      <c r="O37" s="30">
        <f t="shared" si="0"/>
        <v>552940.5</v>
      </c>
    </row>
    <row r="38" spans="1:15" x14ac:dyDescent="0.25">
      <c r="A38" s="34" t="s">
        <v>121</v>
      </c>
      <c r="B38" s="28" t="str">
        <f>'[1]Prod ikan rekap alat TPI'!B44</f>
        <v>Tuna Sirip Kuning</v>
      </c>
      <c r="C38" s="28">
        <v>70210</v>
      </c>
      <c r="D38" s="28">
        <v>89250</v>
      </c>
      <c r="E38" s="28">
        <v>122500</v>
      </c>
      <c r="F38" s="28">
        <v>176096</v>
      </c>
      <c r="G38" s="28">
        <v>126400</v>
      </c>
      <c r="H38" s="28">
        <v>96320</v>
      </c>
      <c r="I38" s="28">
        <v>131394</v>
      </c>
      <c r="J38" s="28">
        <v>111960</v>
      </c>
      <c r="K38" s="28">
        <v>147210</v>
      </c>
      <c r="L38" s="27">
        <v>165000</v>
      </c>
      <c r="M38" s="27">
        <v>151200</v>
      </c>
      <c r="N38" s="27">
        <v>123750</v>
      </c>
      <c r="O38" s="30">
        <f t="shared" si="0"/>
        <v>1511290</v>
      </c>
    </row>
    <row r="39" spans="1:15" x14ac:dyDescent="0.25">
      <c r="A39" s="34" t="s">
        <v>121</v>
      </c>
      <c r="B39" s="28" t="str">
        <f>'[1]Prod ikan rekap alat TPI'!B45</f>
        <v>Tuna Mata Besar</v>
      </c>
      <c r="C39" s="28">
        <v>7000</v>
      </c>
      <c r="D39" s="28">
        <v>17682</v>
      </c>
      <c r="E39" s="28">
        <v>10710</v>
      </c>
      <c r="F39" s="28">
        <v>12800</v>
      </c>
      <c r="G39" s="28">
        <v>12816</v>
      </c>
      <c r="H39" s="28">
        <v>6560</v>
      </c>
      <c r="I39" s="28">
        <v>22500</v>
      </c>
      <c r="J39" s="28">
        <v>9000</v>
      </c>
      <c r="K39" s="28">
        <v>9300</v>
      </c>
      <c r="L39" s="27">
        <v>15360</v>
      </c>
      <c r="M39" s="27">
        <v>18000</v>
      </c>
      <c r="N39" s="27">
        <v>51562.5</v>
      </c>
      <c r="O39" s="30">
        <f t="shared" si="0"/>
        <v>193290.5</v>
      </c>
    </row>
    <row r="40" spans="1:15" x14ac:dyDescent="0.25">
      <c r="A40" s="34" t="s">
        <v>123</v>
      </c>
      <c r="B40" s="28" t="str">
        <f>'[1]Prod ikan rekap alat TPI'!B46</f>
        <v>Teri</v>
      </c>
      <c r="C40" s="28">
        <v>0</v>
      </c>
      <c r="D40" s="28">
        <v>0</v>
      </c>
      <c r="E40" s="28">
        <v>0</v>
      </c>
      <c r="F40" s="28">
        <v>0</v>
      </c>
      <c r="G40" s="28">
        <v>0</v>
      </c>
      <c r="H40" s="28">
        <v>0</v>
      </c>
      <c r="I40" s="28">
        <v>0</v>
      </c>
      <c r="J40" s="28">
        <v>0</v>
      </c>
      <c r="K40" s="28">
        <v>0</v>
      </c>
      <c r="L40" s="27">
        <v>0</v>
      </c>
      <c r="M40" s="27">
        <v>0</v>
      </c>
      <c r="N40" s="27">
        <v>0</v>
      </c>
      <c r="O40" s="30">
        <f t="shared" si="0"/>
        <v>0</v>
      </c>
    </row>
    <row r="41" spans="1:15" x14ac:dyDescent="0.25">
      <c r="A41" s="37" t="s">
        <v>125</v>
      </c>
      <c r="B41" s="38"/>
      <c r="C41" s="30">
        <f t="shared" ref="C41:O41" si="1">SUM(C2:C40)</f>
        <v>421799</v>
      </c>
      <c r="D41" s="30">
        <f t="shared" si="1"/>
        <v>476521.5</v>
      </c>
      <c r="E41" s="30">
        <f t="shared" si="1"/>
        <v>502656.875</v>
      </c>
      <c r="F41" s="30">
        <f t="shared" si="1"/>
        <v>583798.4</v>
      </c>
      <c r="G41" s="30">
        <f t="shared" si="1"/>
        <v>447846.39999999997</v>
      </c>
      <c r="H41" s="30">
        <f t="shared" si="1"/>
        <v>352198.40000000002</v>
      </c>
      <c r="I41" s="30">
        <f t="shared" si="1"/>
        <v>664517.5</v>
      </c>
      <c r="J41" s="30">
        <f t="shared" si="1"/>
        <v>547434</v>
      </c>
      <c r="K41" s="30">
        <f t="shared" si="1"/>
        <v>635550</v>
      </c>
      <c r="L41" s="30">
        <f t="shared" si="1"/>
        <v>686610</v>
      </c>
      <c r="M41" s="30">
        <f t="shared" si="1"/>
        <v>614010</v>
      </c>
      <c r="N41" s="30">
        <f t="shared" si="1"/>
        <v>572055</v>
      </c>
      <c r="O41" s="30">
        <f t="shared" si="1"/>
        <v>6504997.0750000002</v>
      </c>
    </row>
  </sheetData>
  <mergeCells count="1">
    <mergeCell ref="A41:B41"/>
  </mergeCells>
  <pageMargins left="0.7" right="0.7" top="0.75" bottom="0.75" header="0.3" footer="0.3"/>
  <pageSetup scale="61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41"/>
  <sheetViews>
    <sheetView view="pageBreakPreview" zoomScaleNormal="100" workbookViewId="0">
      <pane ySplit="1" topLeftCell="A2" activePane="bottomLeft" state="frozen"/>
      <selection pane="bottomLeft" sqref="A1:XFD1"/>
    </sheetView>
  </sheetViews>
  <sheetFormatPr defaultColWidth="9.109375" defaultRowHeight="12" x14ac:dyDescent="0.25"/>
  <cols>
    <col min="1" max="1" width="18.33203125" style="14" bestFit="1" customWidth="1"/>
    <col min="2" max="2" width="29" style="7" customWidth="1"/>
    <col min="3" max="6" width="7.88671875" style="7" customWidth="1"/>
    <col min="7" max="9" width="7.21875" style="7" customWidth="1"/>
    <col min="10" max="10" width="7.88671875" style="7" customWidth="1"/>
    <col min="11" max="11" width="8.88671875" style="7" customWidth="1"/>
    <col min="12" max="12" width="7.88671875" style="7" customWidth="1"/>
    <col min="13" max="13" width="8.6640625" style="7" customWidth="1"/>
    <col min="14" max="14" width="9" style="7" customWidth="1"/>
    <col min="15" max="15" width="9.88671875" style="7" customWidth="1"/>
    <col min="16" max="16" width="22.5546875" style="7" customWidth="1"/>
    <col min="17" max="17" width="13.88671875" style="7"/>
    <col min="18" max="16384" width="9.109375" style="7"/>
  </cols>
  <sheetData>
    <row r="1" spans="1:15" s="1" customFormat="1" ht="14.4" x14ac:dyDescent="0.3">
      <c r="A1" s="35" t="s">
        <v>126</v>
      </c>
      <c r="B1" s="31" t="s">
        <v>127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  <c r="I1" s="3" t="s">
        <v>26</v>
      </c>
      <c r="J1" s="3" t="s">
        <v>27</v>
      </c>
      <c r="K1" s="6" t="s">
        <v>28</v>
      </c>
      <c r="L1" s="3" t="s">
        <v>29</v>
      </c>
      <c r="M1" s="3" t="s">
        <v>96</v>
      </c>
      <c r="N1" s="3" t="s">
        <v>97</v>
      </c>
      <c r="O1" s="32" t="s">
        <v>128</v>
      </c>
    </row>
    <row r="2" spans="1:15" s="18" customFormat="1" ht="13.2" customHeight="1" x14ac:dyDescent="0.25">
      <c r="A2" s="34" t="s">
        <v>121</v>
      </c>
      <c r="B2" s="17" t="s">
        <v>33</v>
      </c>
      <c r="C2" s="4">
        <v>300</v>
      </c>
      <c r="D2" s="4">
        <v>476</v>
      </c>
      <c r="E2" s="4">
        <v>550</v>
      </c>
      <c r="F2" s="4">
        <v>619</v>
      </c>
      <c r="G2" s="4">
        <v>560</v>
      </c>
      <c r="H2" s="4">
        <f>372+296</f>
        <v>668</v>
      </c>
      <c r="I2" s="4">
        <v>650</v>
      </c>
      <c r="J2" s="4">
        <f>473+296</f>
        <v>769</v>
      </c>
      <c r="K2" s="4">
        <v>521</v>
      </c>
      <c r="L2" s="5">
        <v>630</v>
      </c>
      <c r="M2" s="5">
        <v>502</v>
      </c>
      <c r="N2" s="5">
        <f>372+296</f>
        <v>668</v>
      </c>
      <c r="O2" s="21">
        <f t="shared" ref="O2:O41" si="0">SUM(C2:N2)</f>
        <v>6913</v>
      </c>
    </row>
    <row r="3" spans="1:15" s="18" customFormat="1" ht="13.2" customHeight="1" x14ac:dyDescent="0.25">
      <c r="A3" s="34" t="s">
        <v>122</v>
      </c>
      <c r="B3" s="17" t="s">
        <v>34</v>
      </c>
      <c r="C3" s="4">
        <v>360</v>
      </c>
      <c r="D3" s="4">
        <f>500-35</f>
        <v>465</v>
      </c>
      <c r="E3" s="4">
        <v>650</v>
      </c>
      <c r="F3" s="4">
        <v>420</v>
      </c>
      <c r="G3" s="4">
        <v>633</v>
      </c>
      <c r="H3" s="4">
        <v>514</v>
      </c>
      <c r="I3" s="4">
        <v>489</v>
      </c>
      <c r="J3" s="4">
        <v>730</v>
      </c>
      <c r="K3" s="4">
        <v>764</v>
      </c>
      <c r="L3" s="4">
        <v>620</v>
      </c>
      <c r="M3" s="4">
        <v>611</v>
      </c>
      <c r="N3" s="4">
        <f>596+32</f>
        <v>628</v>
      </c>
      <c r="O3" s="21">
        <f t="shared" si="0"/>
        <v>6884</v>
      </c>
    </row>
    <row r="4" spans="1:15" s="19" customFormat="1" ht="13.2" customHeight="1" x14ac:dyDescent="0.25">
      <c r="A4" s="34" t="s">
        <v>121</v>
      </c>
      <c r="B4" s="17" t="s">
        <v>30</v>
      </c>
      <c r="C4" s="4">
        <f>932+139</f>
        <v>1071</v>
      </c>
      <c r="D4" s="4">
        <v>1051</v>
      </c>
      <c r="E4" s="4">
        <v>1056</v>
      </c>
      <c r="F4" s="4">
        <v>1002</v>
      </c>
      <c r="G4" s="4">
        <f>989+259</f>
        <v>1248</v>
      </c>
      <c r="H4" s="4">
        <v>1008</v>
      </c>
      <c r="I4" s="4">
        <v>1032</v>
      </c>
      <c r="J4" s="4">
        <v>932</v>
      </c>
      <c r="K4" s="4">
        <v>1150</v>
      </c>
      <c r="L4" s="4">
        <v>1028</v>
      </c>
      <c r="M4" s="4">
        <v>986</v>
      </c>
      <c r="N4" s="4">
        <v>1051</v>
      </c>
      <c r="O4" s="33">
        <f t="shared" si="0"/>
        <v>12615</v>
      </c>
    </row>
    <row r="5" spans="1:15" s="19" customFormat="1" ht="13.2" customHeight="1" x14ac:dyDescent="0.25">
      <c r="A5" s="34" t="s">
        <v>123</v>
      </c>
      <c r="B5" s="17" t="s">
        <v>35</v>
      </c>
      <c r="C5" s="4">
        <v>1488</v>
      </c>
      <c r="D5" s="4">
        <v>1800</v>
      </c>
      <c r="E5" s="4">
        <v>2100</v>
      </c>
      <c r="F5" s="4">
        <v>1050</v>
      </c>
      <c r="G5" s="4">
        <v>1650</v>
      </c>
      <c r="H5" s="4">
        <v>1980</v>
      </c>
      <c r="I5" s="4">
        <v>1880</v>
      </c>
      <c r="J5" s="4">
        <v>1875</v>
      </c>
      <c r="K5" s="4">
        <v>1650</v>
      </c>
      <c r="L5" s="4">
        <v>1816</v>
      </c>
      <c r="M5" s="4">
        <v>1705</v>
      </c>
      <c r="N5" s="4">
        <v>1400</v>
      </c>
      <c r="O5" s="33">
        <f t="shared" si="0"/>
        <v>20394</v>
      </c>
    </row>
    <row r="6" spans="1:15" s="19" customFormat="1" ht="13.2" customHeight="1" x14ac:dyDescent="0.25">
      <c r="A6" s="34" t="s">
        <v>121</v>
      </c>
      <c r="B6" s="17" t="s">
        <v>0</v>
      </c>
      <c r="C6" s="4">
        <v>96022</v>
      </c>
      <c r="D6" s="4">
        <v>100671</v>
      </c>
      <c r="E6" s="4">
        <v>186000</v>
      </c>
      <c r="F6" s="4">
        <v>186500</v>
      </c>
      <c r="G6" s="4">
        <f>200000-51164</f>
        <v>148836</v>
      </c>
      <c r="H6" s="4">
        <v>256733</v>
      </c>
      <c r="I6" s="4">
        <v>186476</v>
      </c>
      <c r="J6" s="4">
        <v>173056</v>
      </c>
      <c r="K6" s="4">
        <v>165882</v>
      </c>
      <c r="L6" s="4">
        <v>198560</v>
      </c>
      <c r="M6" s="4">
        <v>252500</v>
      </c>
      <c r="N6" s="4">
        <v>286476</v>
      </c>
      <c r="O6" s="33">
        <f t="shared" si="0"/>
        <v>2237712</v>
      </c>
    </row>
    <row r="7" spans="1:15" s="19" customFormat="1" ht="13.2" customHeight="1" x14ac:dyDescent="0.25">
      <c r="A7" s="34" t="s">
        <v>124</v>
      </c>
      <c r="B7" s="17" t="s">
        <v>36</v>
      </c>
      <c r="C7" s="4">
        <v>626</v>
      </c>
      <c r="D7" s="4">
        <v>598</v>
      </c>
      <c r="E7" s="4">
        <v>789</v>
      </c>
      <c r="F7" s="4">
        <v>543</v>
      </c>
      <c r="G7" s="4">
        <v>469</v>
      </c>
      <c r="H7" s="4">
        <v>596</v>
      </c>
      <c r="I7" s="4">
        <v>732</v>
      </c>
      <c r="J7" s="4">
        <v>803</v>
      </c>
      <c r="K7" s="4">
        <v>626</v>
      </c>
      <c r="L7" s="4">
        <v>626</v>
      </c>
      <c r="M7" s="4">
        <v>626</v>
      </c>
      <c r="N7" s="4">
        <v>626</v>
      </c>
      <c r="O7" s="33">
        <f t="shared" si="0"/>
        <v>7660</v>
      </c>
    </row>
    <row r="8" spans="1:15" s="19" customFormat="1" ht="13.2" customHeight="1" x14ac:dyDescent="0.25">
      <c r="A8" s="34" t="s">
        <v>123</v>
      </c>
      <c r="B8" s="17" t="s">
        <v>37</v>
      </c>
      <c r="C8" s="4">
        <v>3345</v>
      </c>
      <c r="D8" s="4">
        <v>3506</v>
      </c>
      <c r="E8" s="4">
        <v>2986</v>
      </c>
      <c r="F8" s="4">
        <v>2886</v>
      </c>
      <c r="G8" s="4">
        <v>3560</v>
      </c>
      <c r="H8" s="4">
        <v>3056</v>
      </c>
      <c r="I8" s="4">
        <v>3426</v>
      </c>
      <c r="J8" s="4">
        <f>2995+461</f>
        <v>3456</v>
      </c>
      <c r="K8" s="4">
        <v>3654</v>
      </c>
      <c r="L8" s="8">
        <v>3201</v>
      </c>
      <c r="M8" s="8">
        <v>3567</v>
      </c>
      <c r="N8" s="8">
        <v>3502</v>
      </c>
      <c r="O8" s="33">
        <f t="shared" si="0"/>
        <v>40145</v>
      </c>
    </row>
    <row r="9" spans="1:15" s="19" customFormat="1" ht="13.2" customHeight="1" x14ac:dyDescent="0.25">
      <c r="A9" s="34" t="s">
        <v>124</v>
      </c>
      <c r="B9" s="17" t="s">
        <v>38</v>
      </c>
      <c r="C9" s="4">
        <v>846</v>
      </c>
      <c r="D9" s="4">
        <v>796</v>
      </c>
      <c r="E9" s="4">
        <v>950</v>
      </c>
      <c r="F9" s="4">
        <f>650+59</f>
        <v>709</v>
      </c>
      <c r="G9" s="4">
        <v>786</v>
      </c>
      <c r="H9" s="4">
        <v>1030</v>
      </c>
      <c r="I9" s="4">
        <v>832</v>
      </c>
      <c r="J9" s="4">
        <v>736</v>
      </c>
      <c r="K9" s="4">
        <v>890</v>
      </c>
      <c r="L9" s="8">
        <v>893</v>
      </c>
      <c r="M9" s="8">
        <v>730</v>
      </c>
      <c r="N9" s="8">
        <v>960</v>
      </c>
      <c r="O9" s="33">
        <f t="shared" si="0"/>
        <v>10158</v>
      </c>
    </row>
    <row r="10" spans="1:15" s="19" customFormat="1" ht="13.2" customHeight="1" x14ac:dyDescent="0.25">
      <c r="A10" s="34" t="s">
        <v>124</v>
      </c>
      <c r="B10" s="17" t="s">
        <v>39</v>
      </c>
      <c r="C10" s="4">
        <v>3791</v>
      </c>
      <c r="D10" s="4">
        <v>3780</v>
      </c>
      <c r="E10" s="4">
        <v>3560</v>
      </c>
      <c r="F10" s="4">
        <f>3256+681</f>
        <v>3937</v>
      </c>
      <c r="G10" s="4">
        <v>4005</v>
      </c>
      <c r="H10" s="4">
        <v>3640</v>
      </c>
      <c r="I10" s="4">
        <v>4056</v>
      </c>
      <c r="J10" s="4">
        <f>3056+681</f>
        <v>3737</v>
      </c>
      <c r="K10" s="4">
        <v>3560</v>
      </c>
      <c r="L10" s="8">
        <v>4020</v>
      </c>
      <c r="M10" s="8">
        <v>3646</v>
      </c>
      <c r="N10" s="8">
        <v>3756</v>
      </c>
      <c r="O10" s="33">
        <f t="shared" si="0"/>
        <v>45488</v>
      </c>
    </row>
    <row r="11" spans="1:15" s="19" customFormat="1" ht="13.2" customHeight="1" x14ac:dyDescent="0.25">
      <c r="A11" s="34" t="s">
        <v>121</v>
      </c>
      <c r="B11" s="17" t="s">
        <v>40</v>
      </c>
      <c r="C11" s="4">
        <v>525</v>
      </c>
      <c r="D11" s="4">
        <v>520</v>
      </c>
      <c r="E11" s="4">
        <v>496</v>
      </c>
      <c r="F11" s="4">
        <v>536</v>
      </c>
      <c r="G11" s="4">
        <v>489</v>
      </c>
      <c r="H11" s="4">
        <v>430</v>
      </c>
      <c r="I11" s="4">
        <v>540</v>
      </c>
      <c r="J11" s="4">
        <v>732</v>
      </c>
      <c r="K11" s="4">
        <v>452</v>
      </c>
      <c r="L11" s="8">
        <f>442+81</f>
        <v>523</v>
      </c>
      <c r="M11" s="8">
        <v>489</v>
      </c>
      <c r="N11" s="8">
        <v>564</v>
      </c>
      <c r="O11" s="33">
        <f t="shared" si="0"/>
        <v>6296</v>
      </c>
    </row>
    <row r="12" spans="1:15" s="19" customFormat="1" ht="13.2" customHeight="1" x14ac:dyDescent="0.25">
      <c r="A12" s="34" t="s">
        <v>124</v>
      </c>
      <c r="B12" s="17" t="s">
        <v>41</v>
      </c>
      <c r="C12" s="4">
        <v>700</v>
      </c>
      <c r="D12" s="4">
        <v>735</v>
      </c>
      <c r="E12" s="4">
        <v>620</v>
      </c>
      <c r="F12" s="4">
        <v>542</v>
      </c>
      <c r="G12" s="4">
        <v>635</v>
      </c>
      <c r="H12" s="4">
        <v>835</v>
      </c>
      <c r="I12" s="4">
        <v>795</v>
      </c>
      <c r="J12" s="4">
        <v>635</v>
      </c>
      <c r="K12" s="4">
        <v>895</v>
      </c>
      <c r="L12" s="8">
        <f>750+168</f>
        <v>918</v>
      </c>
      <c r="M12" s="8">
        <f>532+163</f>
        <v>695</v>
      </c>
      <c r="N12" s="8">
        <v>568</v>
      </c>
      <c r="O12" s="33">
        <f t="shared" si="0"/>
        <v>8573</v>
      </c>
    </row>
    <row r="13" spans="1:15" s="19" customFormat="1" ht="13.2" customHeight="1" x14ac:dyDescent="0.25">
      <c r="A13" s="34" t="s">
        <v>123</v>
      </c>
      <c r="B13" s="17" t="s">
        <v>3</v>
      </c>
      <c r="C13" s="4">
        <v>704</v>
      </c>
      <c r="D13" s="4">
        <v>735</v>
      </c>
      <c r="E13" s="4">
        <v>553</v>
      </c>
      <c r="F13" s="4">
        <v>598</v>
      </c>
      <c r="G13" s="4">
        <v>603</v>
      </c>
      <c r="H13" s="4">
        <v>785</v>
      </c>
      <c r="I13" s="4">
        <v>732</v>
      </c>
      <c r="J13" s="4">
        <f>890-107</f>
        <v>783</v>
      </c>
      <c r="K13" s="4">
        <v>852</v>
      </c>
      <c r="L13" s="8">
        <v>798</v>
      </c>
      <c r="M13" s="8">
        <v>620</v>
      </c>
      <c r="N13" s="8">
        <v>685</v>
      </c>
      <c r="O13" s="33">
        <f t="shared" si="0"/>
        <v>8448</v>
      </c>
    </row>
    <row r="14" spans="1:15" s="19" customFormat="1" ht="13.2" customHeight="1" x14ac:dyDescent="0.25">
      <c r="A14" s="34" t="s">
        <v>122</v>
      </c>
      <c r="B14" s="17" t="s">
        <v>31</v>
      </c>
      <c r="C14" s="4">
        <v>239</v>
      </c>
      <c r="D14" s="4">
        <v>253</v>
      </c>
      <c r="E14" s="4">
        <v>242</v>
      </c>
      <c r="F14" s="4">
        <v>215</v>
      </c>
      <c r="G14" s="4">
        <v>245</v>
      </c>
      <c r="H14" s="4">
        <v>180</v>
      </c>
      <c r="I14" s="4">
        <v>213</v>
      </c>
      <c r="J14" s="4">
        <f>196+177</f>
        <v>373</v>
      </c>
      <c r="K14" s="4">
        <v>231</v>
      </c>
      <c r="L14" s="8">
        <v>210</v>
      </c>
      <c r="M14" s="8">
        <v>189</v>
      </c>
      <c r="N14" s="8">
        <f>173+100</f>
        <v>273</v>
      </c>
      <c r="O14" s="33">
        <f t="shared" si="0"/>
        <v>2863</v>
      </c>
    </row>
    <row r="15" spans="1:15" s="19" customFormat="1" ht="13.2" customHeight="1" x14ac:dyDescent="0.25">
      <c r="A15" s="34" t="s">
        <v>122</v>
      </c>
      <c r="B15" s="17" t="s">
        <v>4</v>
      </c>
      <c r="C15" s="4">
        <v>1507</v>
      </c>
      <c r="D15" s="4">
        <v>1465</v>
      </c>
      <c r="E15" s="4">
        <v>1789</v>
      </c>
      <c r="F15" s="4">
        <v>1235</v>
      </c>
      <c r="G15" s="4">
        <f>1040+533</f>
        <v>1573</v>
      </c>
      <c r="H15" s="4">
        <v>1523</v>
      </c>
      <c r="I15" s="4">
        <v>1620</v>
      </c>
      <c r="J15" s="4">
        <v>1058</v>
      </c>
      <c r="K15" s="4">
        <v>1620</v>
      </c>
      <c r="L15" s="4">
        <v>1550</v>
      </c>
      <c r="M15" s="4">
        <v>1565</v>
      </c>
      <c r="N15" s="4">
        <v>1578</v>
      </c>
      <c r="O15" s="33">
        <f t="shared" si="0"/>
        <v>18083</v>
      </c>
    </row>
    <row r="16" spans="1:15" s="19" customFormat="1" ht="13.2" customHeight="1" x14ac:dyDescent="0.25">
      <c r="A16" s="34" t="s">
        <v>123</v>
      </c>
      <c r="B16" s="17" t="s">
        <v>42</v>
      </c>
      <c r="C16" s="4">
        <v>7150</v>
      </c>
      <c r="D16" s="4">
        <v>7030</v>
      </c>
      <c r="E16" s="4">
        <v>6580</v>
      </c>
      <c r="F16" s="4">
        <v>9803</v>
      </c>
      <c r="G16" s="4">
        <v>6530</v>
      </c>
      <c r="H16" s="4">
        <f>6201+655</f>
        <v>6856</v>
      </c>
      <c r="I16" s="4">
        <v>7890</v>
      </c>
      <c r="J16" s="4">
        <v>7050</v>
      </c>
      <c r="K16" s="4">
        <v>7501</v>
      </c>
      <c r="L16" s="8">
        <v>6835</v>
      </c>
      <c r="M16" s="8">
        <f>6213+10</f>
        <v>6223</v>
      </c>
      <c r="N16" s="8">
        <v>6350</v>
      </c>
      <c r="O16" s="33">
        <f t="shared" si="0"/>
        <v>85798</v>
      </c>
    </row>
    <row r="17" spans="1:15" s="19" customFormat="1" ht="13.2" customHeight="1" x14ac:dyDescent="0.25">
      <c r="A17" s="34" t="s">
        <v>123</v>
      </c>
      <c r="B17" s="17" t="s">
        <v>5</v>
      </c>
      <c r="C17" s="4">
        <v>1925</v>
      </c>
      <c r="D17" s="4">
        <v>1901</v>
      </c>
      <c r="E17" s="4">
        <v>1983</v>
      </c>
      <c r="F17" s="4">
        <v>1856</v>
      </c>
      <c r="G17" s="4">
        <v>1788</v>
      </c>
      <c r="H17" s="4">
        <v>1685</v>
      </c>
      <c r="I17" s="4">
        <v>2010</v>
      </c>
      <c r="J17" s="4">
        <v>1860</v>
      </c>
      <c r="K17" s="4">
        <f>1765+867</f>
        <v>2632</v>
      </c>
      <c r="L17" s="8">
        <v>1680</v>
      </c>
      <c r="M17" s="8">
        <v>1890</v>
      </c>
      <c r="N17" s="8">
        <v>1890</v>
      </c>
      <c r="O17" s="33">
        <f t="shared" si="0"/>
        <v>23100</v>
      </c>
    </row>
    <row r="18" spans="1:15" s="19" customFormat="1" ht="13.2" customHeight="1" x14ac:dyDescent="0.25">
      <c r="A18" s="34" t="s">
        <v>122</v>
      </c>
      <c r="B18" s="17" t="s">
        <v>6</v>
      </c>
      <c r="C18" s="4">
        <v>408</v>
      </c>
      <c r="D18" s="4">
        <v>468</v>
      </c>
      <c r="E18" s="4">
        <v>436</v>
      </c>
      <c r="F18" s="4">
        <v>302</v>
      </c>
      <c r="G18" s="4">
        <v>488</v>
      </c>
      <c r="H18" s="4">
        <v>496</v>
      </c>
      <c r="I18" s="4">
        <f>500-109</f>
        <v>391</v>
      </c>
      <c r="J18" s="4">
        <v>378</v>
      </c>
      <c r="K18" s="4">
        <v>365</v>
      </c>
      <c r="L18" s="8">
        <v>425</v>
      </c>
      <c r="M18" s="8">
        <v>384</v>
      </c>
      <c r="N18" s="8">
        <v>354</v>
      </c>
      <c r="O18" s="33">
        <f t="shared" si="0"/>
        <v>4895</v>
      </c>
    </row>
    <row r="19" spans="1:15" s="19" customFormat="1" ht="13.2" customHeight="1" x14ac:dyDescent="0.25">
      <c r="A19" s="34" t="s">
        <v>122</v>
      </c>
      <c r="B19" s="17" t="s">
        <v>43</v>
      </c>
      <c r="C19" s="4">
        <v>6354</v>
      </c>
      <c r="D19" s="4">
        <v>6540</v>
      </c>
      <c r="E19" s="4">
        <v>5980</v>
      </c>
      <c r="F19" s="4">
        <v>5883</v>
      </c>
      <c r="G19" s="4">
        <v>5978</v>
      </c>
      <c r="H19" s="4">
        <v>6320</v>
      </c>
      <c r="I19" s="4">
        <v>6830</v>
      </c>
      <c r="J19" s="4">
        <v>5984</v>
      </c>
      <c r="K19" s="4">
        <f>5120+1609</f>
        <v>6729</v>
      </c>
      <c r="L19" s="8">
        <v>6300</v>
      </c>
      <c r="M19" s="8">
        <v>6820</v>
      </c>
      <c r="N19" s="8">
        <v>6532</v>
      </c>
      <c r="O19" s="33">
        <f t="shared" si="0"/>
        <v>76250</v>
      </c>
    </row>
    <row r="20" spans="1:15" s="19" customFormat="1" ht="13.2" customHeight="1" x14ac:dyDescent="0.25">
      <c r="A20" s="34" t="s">
        <v>124</v>
      </c>
      <c r="B20" s="17" t="s">
        <v>44</v>
      </c>
      <c r="C20" s="4">
        <v>2598</v>
      </c>
      <c r="D20" s="4">
        <v>2560</v>
      </c>
      <c r="E20" s="4">
        <v>2146</v>
      </c>
      <c r="F20" s="4">
        <v>2386</v>
      </c>
      <c r="G20" s="4">
        <v>2443</v>
      </c>
      <c r="H20" s="4">
        <v>2689</v>
      </c>
      <c r="I20" s="4">
        <v>2135</v>
      </c>
      <c r="J20" s="4">
        <v>2004</v>
      </c>
      <c r="K20" s="4">
        <v>2756</v>
      </c>
      <c r="L20" s="8">
        <v>2856</v>
      </c>
      <c r="M20" s="8">
        <v>2560</v>
      </c>
      <c r="N20" s="8">
        <f>2456+1589</f>
        <v>4045</v>
      </c>
      <c r="O20" s="33">
        <f t="shared" si="0"/>
        <v>31178</v>
      </c>
    </row>
    <row r="21" spans="1:15" s="19" customFormat="1" ht="13.2" customHeight="1" x14ac:dyDescent="0.25">
      <c r="A21" s="34" t="s">
        <v>124</v>
      </c>
      <c r="B21" s="17" t="s">
        <v>7</v>
      </c>
      <c r="C21" s="4">
        <v>1659</v>
      </c>
      <c r="D21" s="4">
        <v>1589</v>
      </c>
      <c r="E21" s="4">
        <v>1458</v>
      </c>
      <c r="F21" s="4">
        <v>1705</v>
      </c>
      <c r="G21" s="4">
        <f>1246+876</f>
        <v>2122</v>
      </c>
      <c r="H21" s="4">
        <v>1413</v>
      </c>
      <c r="I21" s="4">
        <v>1555</v>
      </c>
      <c r="J21" s="4">
        <v>1658</v>
      </c>
      <c r="K21" s="4">
        <v>1835</v>
      </c>
      <c r="L21" s="8">
        <v>1689</v>
      </c>
      <c r="M21" s="8">
        <v>1602</v>
      </c>
      <c r="N21" s="8">
        <v>1623</v>
      </c>
      <c r="O21" s="33">
        <f t="shared" si="0"/>
        <v>19908</v>
      </c>
    </row>
    <row r="22" spans="1:15" s="19" customFormat="1" ht="13.2" customHeight="1" x14ac:dyDescent="0.25">
      <c r="A22" s="34" t="s">
        <v>123</v>
      </c>
      <c r="B22" s="17" t="s">
        <v>45</v>
      </c>
      <c r="C22" s="4">
        <v>3155</v>
      </c>
      <c r="D22" s="4">
        <v>3050</v>
      </c>
      <c r="E22" s="4">
        <v>2780</v>
      </c>
      <c r="F22" s="4">
        <v>2980</v>
      </c>
      <c r="G22" s="4">
        <v>3055</v>
      </c>
      <c r="H22" s="4">
        <v>3120</v>
      </c>
      <c r="I22" s="4">
        <v>2950</v>
      </c>
      <c r="J22" s="4">
        <v>3005</v>
      </c>
      <c r="K22" s="4">
        <v>3560</v>
      </c>
      <c r="L22" s="8">
        <f>2856+904</f>
        <v>3760</v>
      </c>
      <c r="M22" s="8">
        <v>2890</v>
      </c>
      <c r="N22" s="8">
        <v>3560</v>
      </c>
      <c r="O22" s="33">
        <f t="shared" si="0"/>
        <v>37865</v>
      </c>
    </row>
    <row r="23" spans="1:15" s="19" customFormat="1" ht="13.2" customHeight="1" x14ac:dyDescent="0.25">
      <c r="A23" s="34" t="s">
        <v>123</v>
      </c>
      <c r="B23" s="17" t="s">
        <v>46</v>
      </c>
      <c r="C23" s="4">
        <v>27586</v>
      </c>
      <c r="D23" s="4">
        <v>27860</v>
      </c>
      <c r="E23" s="4">
        <v>27456</v>
      </c>
      <c r="F23" s="4">
        <v>27830</v>
      </c>
      <c r="G23" s="4">
        <v>26805</v>
      </c>
      <c r="H23" s="4">
        <v>27456</v>
      </c>
      <c r="I23" s="4">
        <v>27560</v>
      </c>
      <c r="J23" s="4">
        <v>27860</v>
      </c>
      <c r="K23" s="4">
        <v>27586</v>
      </c>
      <c r="L23" s="8">
        <v>27320</v>
      </c>
      <c r="M23" s="8">
        <v>27856</v>
      </c>
      <c r="N23" s="8">
        <v>27858</v>
      </c>
      <c r="O23" s="33">
        <f t="shared" si="0"/>
        <v>331033</v>
      </c>
    </row>
    <row r="24" spans="1:15" s="19" customFormat="1" ht="13.2" customHeight="1" x14ac:dyDescent="0.25">
      <c r="A24" s="34" t="s">
        <v>121</v>
      </c>
      <c r="B24" s="17" t="s">
        <v>47</v>
      </c>
      <c r="C24" s="4">
        <v>6567</v>
      </c>
      <c r="D24" s="4">
        <v>6502</v>
      </c>
      <c r="E24" s="4">
        <v>6541</v>
      </c>
      <c r="F24" s="4">
        <v>6213</v>
      </c>
      <c r="G24" s="4">
        <v>6801</v>
      </c>
      <c r="H24" s="4">
        <v>6540</v>
      </c>
      <c r="I24" s="4">
        <v>6471</v>
      </c>
      <c r="J24" s="4">
        <v>6423</v>
      </c>
      <c r="K24" s="4">
        <v>6004</v>
      </c>
      <c r="L24" s="8">
        <v>6840</v>
      </c>
      <c r="M24" s="8">
        <v>6600</v>
      </c>
      <c r="N24" s="8">
        <v>6980</v>
      </c>
      <c r="O24" s="33">
        <f t="shared" si="0"/>
        <v>78482</v>
      </c>
    </row>
    <row r="25" spans="1:15" s="19" customFormat="1" ht="13.2" customHeight="1" x14ac:dyDescent="0.25">
      <c r="A25" s="34" t="s">
        <v>123</v>
      </c>
      <c r="B25" s="17" t="s">
        <v>9</v>
      </c>
      <c r="C25" s="4">
        <v>19928</v>
      </c>
      <c r="D25" s="4">
        <v>20560</v>
      </c>
      <c r="E25" s="4">
        <v>20805</v>
      </c>
      <c r="F25" s="4">
        <v>19550</v>
      </c>
      <c r="G25" s="4">
        <v>20145</v>
      </c>
      <c r="H25" s="4">
        <v>19253</v>
      </c>
      <c r="I25" s="4">
        <v>19320</v>
      </c>
      <c r="J25" s="4">
        <v>20560</v>
      </c>
      <c r="K25" s="4">
        <v>20056</v>
      </c>
      <c r="L25" s="8">
        <v>19850</v>
      </c>
      <c r="M25" s="8">
        <v>20450</v>
      </c>
      <c r="N25" s="8">
        <f>18560+103</f>
        <v>18663</v>
      </c>
      <c r="O25" s="33">
        <f t="shared" si="0"/>
        <v>239140</v>
      </c>
    </row>
    <row r="26" spans="1:15" s="19" customFormat="1" ht="13.2" customHeight="1" x14ac:dyDescent="0.25">
      <c r="A26" s="34" t="s">
        <v>121</v>
      </c>
      <c r="B26" s="17" t="s">
        <v>10</v>
      </c>
      <c r="C26" s="4">
        <v>17433</v>
      </c>
      <c r="D26" s="4">
        <v>17860</v>
      </c>
      <c r="E26" s="4">
        <v>16580</v>
      </c>
      <c r="F26" s="4">
        <f>18500-482</f>
        <v>18018</v>
      </c>
      <c r="G26" s="4">
        <v>17230</v>
      </c>
      <c r="H26" s="4">
        <v>17803</v>
      </c>
      <c r="I26" s="4">
        <v>17060</v>
      </c>
      <c r="J26" s="4">
        <v>18006</v>
      </c>
      <c r="K26" s="4">
        <v>17530</v>
      </c>
      <c r="L26" s="8">
        <v>17030</v>
      </c>
      <c r="M26" s="8">
        <v>17080</v>
      </c>
      <c r="N26" s="8">
        <v>17560</v>
      </c>
      <c r="O26" s="33">
        <f t="shared" si="0"/>
        <v>209190</v>
      </c>
    </row>
    <row r="27" spans="1:15" s="19" customFormat="1" ht="13.2" customHeight="1" x14ac:dyDescent="0.25">
      <c r="A27" s="34" t="s">
        <v>124</v>
      </c>
      <c r="B27" s="17" t="s">
        <v>32</v>
      </c>
      <c r="C27" s="4">
        <v>856</v>
      </c>
      <c r="D27" s="4">
        <v>830</v>
      </c>
      <c r="E27" s="4">
        <v>812</v>
      </c>
      <c r="F27" s="4">
        <v>856</v>
      </c>
      <c r="G27" s="4">
        <v>832</v>
      </c>
      <c r="H27" s="4">
        <v>903</v>
      </c>
      <c r="I27" s="4">
        <v>915</v>
      </c>
      <c r="J27" s="4">
        <v>825</v>
      </c>
      <c r="K27" s="4">
        <v>805</v>
      </c>
      <c r="L27" s="8">
        <v>873</v>
      </c>
      <c r="M27" s="8">
        <v>889</v>
      </c>
      <c r="N27" s="8">
        <v>882</v>
      </c>
      <c r="O27" s="33">
        <f t="shared" si="0"/>
        <v>10278</v>
      </c>
    </row>
    <row r="28" spans="1:15" s="19" customFormat="1" ht="13.2" customHeight="1" x14ac:dyDescent="0.25">
      <c r="A28" s="34" t="s">
        <v>121</v>
      </c>
      <c r="B28" s="17" t="s">
        <v>48</v>
      </c>
      <c r="C28" s="4">
        <v>7913</v>
      </c>
      <c r="D28" s="4">
        <v>7864</v>
      </c>
      <c r="E28" s="4">
        <v>6805</v>
      </c>
      <c r="F28" s="4">
        <v>8302</v>
      </c>
      <c r="G28" s="4">
        <v>7320</v>
      </c>
      <c r="H28" s="4">
        <v>8325</v>
      </c>
      <c r="I28" s="4">
        <v>8850</v>
      </c>
      <c r="J28" s="4">
        <v>8985</v>
      </c>
      <c r="K28" s="4">
        <f>7035+299</f>
        <v>7334</v>
      </c>
      <c r="L28" s="8">
        <v>8056</v>
      </c>
      <c r="M28" s="8">
        <v>7356</v>
      </c>
      <c r="N28" s="8">
        <v>7850</v>
      </c>
      <c r="O28" s="33">
        <f t="shared" si="0"/>
        <v>94960</v>
      </c>
    </row>
    <row r="29" spans="1:15" s="19" customFormat="1" ht="13.2" customHeight="1" x14ac:dyDescent="0.25">
      <c r="A29" s="34" t="s">
        <v>124</v>
      </c>
      <c r="B29" s="17" t="s">
        <v>49</v>
      </c>
      <c r="C29" s="4">
        <v>674</v>
      </c>
      <c r="D29" s="4">
        <v>652</v>
      </c>
      <c r="E29" s="4">
        <v>632</v>
      </c>
      <c r="F29" s="4">
        <v>656</v>
      </c>
      <c r="G29" s="4">
        <v>702</v>
      </c>
      <c r="H29" s="4">
        <v>730</v>
      </c>
      <c r="I29" s="4">
        <v>756</v>
      </c>
      <c r="J29" s="4">
        <f>613+43</f>
        <v>656</v>
      </c>
      <c r="K29" s="4">
        <v>620</v>
      </c>
      <c r="L29" s="8">
        <v>654</v>
      </c>
      <c r="M29" s="8">
        <v>703</v>
      </c>
      <c r="N29" s="8">
        <v>653</v>
      </c>
      <c r="O29" s="33">
        <f t="shared" si="0"/>
        <v>8088</v>
      </c>
    </row>
    <row r="30" spans="1:15" s="19" customFormat="1" ht="13.2" customHeight="1" x14ac:dyDescent="0.25">
      <c r="A30" s="34" t="s">
        <v>123</v>
      </c>
      <c r="B30" s="17" t="s">
        <v>50</v>
      </c>
      <c r="C30" s="4">
        <v>1825</v>
      </c>
      <c r="D30" s="4">
        <v>1832</v>
      </c>
      <c r="E30" s="4">
        <v>1856</v>
      </c>
      <c r="F30" s="4">
        <v>1872</v>
      </c>
      <c r="G30" s="4">
        <f>1892-24</f>
        <v>1868</v>
      </c>
      <c r="H30" s="4">
        <v>1856</v>
      </c>
      <c r="I30" s="4">
        <v>1832</v>
      </c>
      <c r="J30" s="4">
        <v>1892</v>
      </c>
      <c r="K30" s="4">
        <v>1864</v>
      </c>
      <c r="L30" s="8">
        <v>1730</v>
      </c>
      <c r="M30" s="8">
        <v>1760</v>
      </c>
      <c r="N30" s="8">
        <v>1713</v>
      </c>
      <c r="O30" s="33">
        <f t="shared" si="0"/>
        <v>21900</v>
      </c>
    </row>
    <row r="31" spans="1:15" s="19" customFormat="1" ht="13.2" customHeight="1" x14ac:dyDescent="0.25">
      <c r="A31" s="34" t="s">
        <v>121</v>
      </c>
      <c r="B31" s="17" t="s">
        <v>12</v>
      </c>
      <c r="C31" s="4">
        <v>517</v>
      </c>
      <c r="D31" s="4">
        <v>486</v>
      </c>
      <c r="E31" s="4">
        <v>495</v>
      </c>
      <c r="F31" s="4">
        <v>520</v>
      </c>
      <c r="G31" s="4">
        <v>508</v>
      </c>
      <c r="H31" s="4">
        <v>532</v>
      </c>
      <c r="I31" s="4">
        <v>503</v>
      </c>
      <c r="J31" s="4">
        <v>512</v>
      </c>
      <c r="K31" s="4">
        <v>602</v>
      </c>
      <c r="L31" s="8">
        <v>432</v>
      </c>
      <c r="M31" s="8">
        <f>471+142</f>
        <v>613</v>
      </c>
      <c r="N31" s="8">
        <v>485</v>
      </c>
      <c r="O31" s="33">
        <f t="shared" si="0"/>
        <v>6205</v>
      </c>
    </row>
    <row r="32" spans="1:15" s="19" customFormat="1" ht="13.2" customHeight="1" x14ac:dyDescent="0.25">
      <c r="A32" s="34" t="s">
        <v>123</v>
      </c>
      <c r="B32" s="17" t="s">
        <v>51</v>
      </c>
      <c r="C32" s="4">
        <v>2428</v>
      </c>
      <c r="D32" s="4">
        <v>2456</v>
      </c>
      <c r="E32" s="4">
        <v>2413</v>
      </c>
      <c r="F32" s="4">
        <v>2335</v>
      </c>
      <c r="G32" s="4">
        <v>2450</v>
      </c>
      <c r="H32" s="4">
        <v>2432</v>
      </c>
      <c r="I32" s="4">
        <f>2105+88</f>
        <v>2193</v>
      </c>
      <c r="J32" s="4">
        <v>2120</v>
      </c>
      <c r="K32" s="4">
        <v>2986</v>
      </c>
      <c r="L32" s="8">
        <v>2532</v>
      </c>
      <c r="M32" s="8">
        <v>2140</v>
      </c>
      <c r="N32" s="8">
        <v>2650</v>
      </c>
      <c r="O32" s="33">
        <f t="shared" si="0"/>
        <v>29135</v>
      </c>
    </row>
    <row r="33" spans="1:17" s="19" customFormat="1" ht="13.2" customHeight="1" x14ac:dyDescent="0.25">
      <c r="A33" s="34" t="s">
        <v>124</v>
      </c>
      <c r="B33" s="17" t="s">
        <v>13</v>
      </c>
      <c r="C33" s="4">
        <v>615</v>
      </c>
      <c r="D33" s="4">
        <v>630</v>
      </c>
      <c r="E33" s="4">
        <v>654</v>
      </c>
      <c r="F33" s="4">
        <v>680</v>
      </c>
      <c r="G33" s="4">
        <v>621</v>
      </c>
      <c r="H33" s="4">
        <v>671</v>
      </c>
      <c r="I33" s="4">
        <v>520</v>
      </c>
      <c r="J33" s="4">
        <v>541</v>
      </c>
      <c r="K33" s="4">
        <v>510</v>
      </c>
      <c r="L33" s="8">
        <f>495+107</f>
        <v>602</v>
      </c>
      <c r="M33" s="8">
        <v>656</v>
      </c>
      <c r="N33" s="8">
        <v>680</v>
      </c>
      <c r="O33" s="33">
        <f t="shared" si="0"/>
        <v>7380</v>
      </c>
    </row>
    <row r="34" spans="1:17" s="19" customFormat="1" ht="13.2" customHeight="1" x14ac:dyDescent="0.25">
      <c r="A34" s="34" t="s">
        <v>123</v>
      </c>
      <c r="B34" s="17" t="s">
        <v>14</v>
      </c>
      <c r="C34" s="4">
        <v>918</v>
      </c>
      <c r="D34" s="4">
        <v>930</v>
      </c>
      <c r="E34" s="4">
        <v>925</v>
      </c>
      <c r="F34" s="4">
        <v>914</v>
      </c>
      <c r="G34" s="4">
        <v>891</v>
      </c>
      <c r="H34" s="4">
        <v>970</v>
      </c>
      <c r="I34" s="4">
        <v>956</v>
      </c>
      <c r="J34" s="4">
        <v>903</v>
      </c>
      <c r="K34" s="4">
        <v>886</v>
      </c>
      <c r="L34" s="8">
        <v>975</v>
      </c>
      <c r="M34" s="8">
        <v>845</v>
      </c>
      <c r="N34" s="8">
        <v>899</v>
      </c>
      <c r="O34" s="33">
        <f t="shared" si="0"/>
        <v>11012</v>
      </c>
    </row>
    <row r="35" spans="1:17" s="19" customFormat="1" ht="13.2" customHeight="1" x14ac:dyDescent="0.25">
      <c r="A35" s="34" t="s">
        <v>121</v>
      </c>
      <c r="B35" s="17" t="s">
        <v>15</v>
      </c>
      <c r="C35" s="4">
        <v>8023</v>
      </c>
      <c r="D35" s="4">
        <v>7985</v>
      </c>
      <c r="E35" s="4">
        <v>8501</v>
      </c>
      <c r="F35" s="4">
        <v>7560</v>
      </c>
      <c r="G35" s="4">
        <v>8540</v>
      </c>
      <c r="H35" s="4">
        <v>7851</v>
      </c>
      <c r="I35" s="4">
        <v>8565</v>
      </c>
      <c r="J35" s="4">
        <f>7856-631</f>
        <v>7225</v>
      </c>
      <c r="K35" s="4">
        <v>7986</v>
      </c>
      <c r="L35" s="8">
        <v>8732</v>
      </c>
      <c r="M35" s="8">
        <v>7956</v>
      </c>
      <c r="N35" s="8">
        <v>7356</v>
      </c>
      <c r="O35" s="33">
        <f t="shared" si="0"/>
        <v>96280</v>
      </c>
    </row>
    <row r="36" spans="1:17" s="19" customFormat="1" ht="13.2" customHeight="1" x14ac:dyDescent="0.25">
      <c r="A36" s="34" t="s">
        <v>123</v>
      </c>
      <c r="B36" s="17" t="s">
        <v>52</v>
      </c>
      <c r="C36" s="4">
        <v>741</v>
      </c>
      <c r="D36" s="4">
        <v>659</v>
      </c>
      <c r="E36" s="4">
        <v>696</v>
      </c>
      <c r="F36" s="4">
        <v>720</v>
      </c>
      <c r="G36" s="4">
        <v>692</v>
      </c>
      <c r="H36" s="4">
        <v>655</v>
      </c>
      <c r="I36" s="4">
        <v>687</v>
      </c>
      <c r="J36" s="4">
        <v>732</v>
      </c>
      <c r="K36" s="4">
        <v>756</v>
      </c>
      <c r="L36" s="8">
        <v>714</v>
      </c>
      <c r="M36" s="8">
        <v>922</v>
      </c>
      <c r="N36" s="8">
        <f>916+8</f>
        <v>924</v>
      </c>
      <c r="O36" s="33">
        <f t="shared" si="0"/>
        <v>8898</v>
      </c>
    </row>
    <row r="37" spans="1:17" s="18" customFormat="1" ht="13.2" customHeight="1" x14ac:dyDescent="0.25">
      <c r="A37" s="34" t="s">
        <v>121</v>
      </c>
      <c r="B37" s="17" t="s">
        <v>53</v>
      </c>
      <c r="C37" s="4">
        <v>38631</v>
      </c>
      <c r="D37" s="4">
        <v>38231</v>
      </c>
      <c r="E37" s="4">
        <v>37560</v>
      </c>
      <c r="F37" s="4">
        <v>36893</v>
      </c>
      <c r="G37" s="4">
        <v>36560</v>
      </c>
      <c r="H37" s="4">
        <v>35501</v>
      </c>
      <c r="I37" s="4">
        <v>36530</v>
      </c>
      <c r="J37" s="4">
        <v>37560</v>
      </c>
      <c r="K37" s="4">
        <f>36002+16030</f>
        <v>52032</v>
      </c>
      <c r="L37" s="8">
        <v>38625</v>
      </c>
      <c r="M37" s="8">
        <v>38205</v>
      </c>
      <c r="N37" s="8">
        <v>37250</v>
      </c>
      <c r="O37" s="33">
        <f t="shared" si="0"/>
        <v>463578</v>
      </c>
      <c r="P37" s="19"/>
      <c r="Q37" s="20"/>
    </row>
    <row r="38" spans="1:17" s="19" customFormat="1" ht="13.2" customHeight="1" x14ac:dyDescent="0.25">
      <c r="A38" s="34" t="s">
        <v>121</v>
      </c>
      <c r="B38" s="17" t="s">
        <v>19</v>
      </c>
      <c r="C38" s="8">
        <v>142385</v>
      </c>
      <c r="D38" s="8">
        <v>156321</v>
      </c>
      <c r="E38" s="8">
        <v>140151</v>
      </c>
      <c r="F38" s="4">
        <v>132560</v>
      </c>
      <c r="G38" s="4">
        <v>156040</v>
      </c>
      <c r="H38" s="4">
        <v>132050</v>
      </c>
      <c r="I38" s="4">
        <v>136856</v>
      </c>
      <c r="J38" s="4">
        <v>138560</v>
      </c>
      <c r="K38" s="4">
        <v>125605</v>
      </c>
      <c r="L38" s="8">
        <v>125320</v>
      </c>
      <c r="M38" s="8">
        <v>156350</v>
      </c>
      <c r="N38" s="8">
        <f>172586-6162</f>
        <v>166424</v>
      </c>
      <c r="O38" s="33">
        <f t="shared" si="0"/>
        <v>1708622</v>
      </c>
    </row>
    <row r="39" spans="1:17" s="19" customFormat="1" ht="13.2" customHeight="1" x14ac:dyDescent="0.25">
      <c r="A39" s="34" t="s">
        <v>121</v>
      </c>
      <c r="B39" s="17" t="s">
        <v>18</v>
      </c>
      <c r="C39" s="8">
        <v>6504</v>
      </c>
      <c r="D39" s="8">
        <v>6325</v>
      </c>
      <c r="E39" s="8">
        <v>6251</v>
      </c>
      <c r="F39" s="4">
        <v>6152</v>
      </c>
      <c r="G39" s="4">
        <v>6601</v>
      </c>
      <c r="H39" s="4">
        <v>6321</v>
      </c>
      <c r="I39" s="4">
        <v>6215</v>
      </c>
      <c r="J39" s="4">
        <v>6152</v>
      </c>
      <c r="K39" s="4">
        <v>6381</v>
      </c>
      <c r="L39" s="8">
        <v>6856</v>
      </c>
      <c r="M39" s="8">
        <f>6951+14</f>
        <v>6965</v>
      </c>
      <c r="N39" s="8">
        <v>7325</v>
      </c>
      <c r="O39" s="33">
        <f t="shared" si="0"/>
        <v>78048</v>
      </c>
    </row>
    <row r="40" spans="1:17" s="19" customFormat="1" ht="13.2" customHeight="1" x14ac:dyDescent="0.25">
      <c r="A40" s="34" t="s">
        <v>123</v>
      </c>
      <c r="B40" s="17" t="s">
        <v>17</v>
      </c>
      <c r="C40" s="8">
        <v>0</v>
      </c>
      <c r="D40" s="8">
        <v>0</v>
      </c>
      <c r="E40" s="8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8">
        <v>0</v>
      </c>
      <c r="M40" s="8">
        <v>0</v>
      </c>
      <c r="N40" s="8">
        <v>0</v>
      </c>
      <c r="O40" s="33">
        <f t="shared" si="0"/>
        <v>0</v>
      </c>
    </row>
    <row r="41" spans="1:17" s="20" customFormat="1" ht="15" customHeight="1" x14ac:dyDescent="0.3">
      <c r="A41" s="39" t="s">
        <v>125</v>
      </c>
      <c r="B41" s="39"/>
      <c r="C41" s="21">
        <f t="shared" ref="C41:N41" si="1">SUM(C2:C40)</f>
        <v>418317</v>
      </c>
      <c r="D41" s="21">
        <f t="shared" si="1"/>
        <v>437972</v>
      </c>
      <c r="E41" s="21">
        <f t="shared" si="1"/>
        <v>502837</v>
      </c>
      <c r="F41" s="21">
        <f t="shared" si="1"/>
        <v>497338</v>
      </c>
      <c r="G41" s="21">
        <f t="shared" si="1"/>
        <v>482302</v>
      </c>
      <c r="H41" s="21">
        <f t="shared" si="1"/>
        <v>565406</v>
      </c>
      <c r="I41" s="21">
        <f t="shared" si="1"/>
        <v>503023</v>
      </c>
      <c r="J41" s="21">
        <f t="shared" si="1"/>
        <v>491126</v>
      </c>
      <c r="K41" s="21">
        <f t="shared" si="1"/>
        <v>487668</v>
      </c>
      <c r="L41" s="21">
        <f t="shared" si="1"/>
        <v>506079</v>
      </c>
      <c r="M41" s="21">
        <f t="shared" si="1"/>
        <v>588146</v>
      </c>
      <c r="N41" s="21">
        <f t="shared" si="1"/>
        <v>633241</v>
      </c>
      <c r="O41" s="21">
        <f t="shared" si="0"/>
        <v>6113455</v>
      </c>
    </row>
  </sheetData>
  <mergeCells count="1">
    <mergeCell ref="A41:B41"/>
  </mergeCells>
  <printOptions horizontalCentered="1"/>
  <pageMargins left="0.70866141732283472" right="0.70866141732283472" top="0.39370078740157483" bottom="0.39370078740157483" header="0" footer="0.31496062992125984"/>
  <pageSetup paperSize="9" scale="9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41"/>
  <sheetViews>
    <sheetView view="pageBreakPreview" zoomScaleNormal="100" workbookViewId="0">
      <pane ySplit="1" topLeftCell="A2" activePane="bottomLeft" state="frozen"/>
      <selection pane="bottomLeft" sqref="A1:XFD1"/>
    </sheetView>
  </sheetViews>
  <sheetFormatPr defaultColWidth="9.109375" defaultRowHeight="12" x14ac:dyDescent="0.3"/>
  <cols>
    <col min="1" max="1" width="18.33203125" style="22" bestFit="1" customWidth="1"/>
    <col min="2" max="2" width="28.88671875" style="18" customWidth="1"/>
    <col min="3" max="6" width="7.88671875" style="18" customWidth="1"/>
    <col min="7" max="9" width="7.109375" style="18" customWidth="1"/>
    <col min="10" max="10" width="7.88671875" style="18" customWidth="1"/>
    <col min="11" max="11" width="9.109375" style="18" customWidth="1"/>
    <col min="12" max="12" width="7.88671875" style="18" customWidth="1"/>
    <col min="13" max="13" width="8.33203125" style="18" customWidth="1"/>
    <col min="14" max="14" width="8.44140625" style="18" customWidth="1"/>
    <col min="15" max="15" width="9.88671875" style="18" customWidth="1"/>
    <col min="16" max="16" width="22.5546875" style="18" customWidth="1"/>
    <col min="17" max="17" width="13.88671875" style="18"/>
    <col min="18" max="16384" width="9.109375" style="18"/>
  </cols>
  <sheetData>
    <row r="1" spans="1:15" s="1" customFormat="1" ht="14.4" x14ac:dyDescent="0.3">
      <c r="A1" s="35" t="s">
        <v>126</v>
      </c>
      <c r="B1" s="31" t="s">
        <v>127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  <c r="I1" s="3" t="s">
        <v>26</v>
      </c>
      <c r="J1" s="3" t="s">
        <v>27</v>
      </c>
      <c r="K1" s="6" t="s">
        <v>28</v>
      </c>
      <c r="L1" s="3" t="s">
        <v>29</v>
      </c>
      <c r="M1" s="3" t="s">
        <v>96</v>
      </c>
      <c r="N1" s="3" t="s">
        <v>97</v>
      </c>
      <c r="O1" s="32" t="s">
        <v>128</v>
      </c>
    </row>
    <row r="2" spans="1:15" ht="13.2" customHeight="1" x14ac:dyDescent="0.25">
      <c r="A2" s="34" t="s">
        <v>121</v>
      </c>
      <c r="B2" s="17" t="s">
        <v>33</v>
      </c>
      <c r="C2" s="4">
        <v>450</v>
      </c>
      <c r="D2" s="4">
        <v>360</v>
      </c>
      <c r="E2" s="4">
        <v>310</v>
      </c>
      <c r="F2" s="4">
        <v>641</v>
      </c>
      <c r="G2" s="4">
        <v>462</v>
      </c>
      <c r="H2" s="4">
        <v>346</v>
      </c>
      <c r="I2" s="4">
        <v>446</v>
      </c>
      <c r="J2" s="4">
        <v>247</v>
      </c>
      <c r="K2" s="4">
        <v>248</v>
      </c>
      <c r="L2" s="5">
        <v>349</v>
      </c>
      <c r="M2" s="5">
        <v>590</v>
      </c>
      <c r="N2" s="5">
        <v>591</v>
      </c>
      <c r="O2" s="21">
        <f t="shared" ref="O2:O41" si="0">SUM(C2:N2)</f>
        <v>5040</v>
      </c>
    </row>
    <row r="3" spans="1:15" ht="13.2" customHeight="1" x14ac:dyDescent="0.25">
      <c r="A3" s="34" t="s">
        <v>122</v>
      </c>
      <c r="B3" s="17" t="s">
        <v>34</v>
      </c>
      <c r="C3" s="4">
        <v>950</v>
      </c>
      <c r="D3" s="4">
        <v>1125</v>
      </c>
      <c r="E3" s="4">
        <v>1000</v>
      </c>
      <c r="F3" s="4">
        <v>1602.5</v>
      </c>
      <c r="G3" s="4">
        <v>1000</v>
      </c>
      <c r="H3" s="4">
        <v>900</v>
      </c>
      <c r="I3" s="4">
        <v>3250</v>
      </c>
      <c r="J3" s="4">
        <v>1625</v>
      </c>
      <c r="K3" s="4">
        <v>750</v>
      </c>
      <c r="L3" s="4">
        <v>775</v>
      </c>
      <c r="M3" s="4">
        <v>775</v>
      </c>
      <c r="N3" s="4">
        <v>525</v>
      </c>
      <c r="O3" s="21">
        <f t="shared" si="0"/>
        <v>14277.5</v>
      </c>
    </row>
    <row r="4" spans="1:15" ht="13.2" customHeight="1" x14ac:dyDescent="0.25">
      <c r="A4" s="34" t="s">
        <v>121</v>
      </c>
      <c r="B4" s="17" t="s">
        <v>30</v>
      </c>
      <c r="C4" s="4">
        <v>325</v>
      </c>
      <c r="D4" s="4">
        <v>200</v>
      </c>
      <c r="E4" s="4">
        <v>300</v>
      </c>
      <c r="F4" s="4">
        <v>150</v>
      </c>
      <c r="G4" s="4">
        <v>525</v>
      </c>
      <c r="H4" s="4">
        <v>100</v>
      </c>
      <c r="I4" s="4">
        <v>225</v>
      </c>
      <c r="J4" s="4">
        <v>125</v>
      </c>
      <c r="K4" s="4">
        <v>300</v>
      </c>
      <c r="L4" s="4">
        <v>2425</v>
      </c>
      <c r="M4" s="4">
        <v>4475</v>
      </c>
      <c r="N4" s="4">
        <v>2225</v>
      </c>
      <c r="O4" s="21">
        <f t="shared" si="0"/>
        <v>11375</v>
      </c>
    </row>
    <row r="5" spans="1:15" ht="13.2" customHeight="1" x14ac:dyDescent="0.25">
      <c r="A5" s="34" t="s">
        <v>123</v>
      </c>
      <c r="B5" s="17" t="s">
        <v>35</v>
      </c>
      <c r="C5" s="4">
        <v>3725</v>
      </c>
      <c r="D5" s="4">
        <v>6500</v>
      </c>
      <c r="E5" s="4">
        <v>5250</v>
      </c>
      <c r="F5" s="4">
        <v>3750</v>
      </c>
      <c r="G5" s="4">
        <v>4000</v>
      </c>
      <c r="H5" s="4">
        <v>4000</v>
      </c>
      <c r="I5" s="4">
        <v>7250</v>
      </c>
      <c r="J5" s="4">
        <v>3500</v>
      </c>
      <c r="K5" s="4">
        <v>4500</v>
      </c>
      <c r="L5" s="4">
        <v>750</v>
      </c>
      <c r="M5" s="4">
        <v>125</v>
      </c>
      <c r="N5" s="4">
        <v>375</v>
      </c>
      <c r="O5" s="21">
        <f t="shared" si="0"/>
        <v>43725</v>
      </c>
    </row>
    <row r="6" spans="1:15" ht="13.2" customHeight="1" x14ac:dyDescent="0.25">
      <c r="A6" s="34" t="s">
        <v>121</v>
      </c>
      <c r="B6" s="17" t="s">
        <v>0</v>
      </c>
      <c r="C6" s="4">
        <v>226625</v>
      </c>
      <c r="D6" s="4">
        <v>162267.5</v>
      </c>
      <c r="E6" s="4">
        <v>126500</v>
      </c>
      <c r="F6" s="4">
        <v>178250</v>
      </c>
      <c r="G6" s="4">
        <v>161825</v>
      </c>
      <c r="H6" s="4">
        <v>105750</v>
      </c>
      <c r="I6" s="4">
        <v>198500</v>
      </c>
      <c r="J6" s="4">
        <v>135500</v>
      </c>
      <c r="K6" s="4">
        <v>160250</v>
      </c>
      <c r="L6" s="4">
        <v>213750</v>
      </c>
      <c r="M6" s="4">
        <v>239375</v>
      </c>
      <c r="N6" s="4">
        <v>205125</v>
      </c>
      <c r="O6" s="21">
        <f t="shared" si="0"/>
        <v>2113717.5</v>
      </c>
    </row>
    <row r="7" spans="1:15" ht="13.2" customHeight="1" x14ac:dyDescent="0.25">
      <c r="A7" s="34" t="s">
        <v>124</v>
      </c>
      <c r="B7" s="17" t="s">
        <v>36</v>
      </c>
      <c r="C7" s="4">
        <v>121</v>
      </c>
      <c r="D7" s="4">
        <v>103</v>
      </c>
      <c r="E7" s="4">
        <v>94</v>
      </c>
      <c r="F7" s="4">
        <v>98</v>
      </c>
      <c r="G7" s="4">
        <v>109</v>
      </c>
      <c r="H7" s="4">
        <v>89</v>
      </c>
      <c r="I7" s="4">
        <v>120</v>
      </c>
      <c r="J7" s="4">
        <v>111</v>
      </c>
      <c r="K7" s="4">
        <v>102</v>
      </c>
      <c r="L7" s="4">
        <v>133</v>
      </c>
      <c r="M7" s="4">
        <v>164</v>
      </c>
      <c r="N7" s="4">
        <v>165</v>
      </c>
      <c r="O7" s="21">
        <f t="shared" si="0"/>
        <v>1409</v>
      </c>
    </row>
    <row r="8" spans="1:15" ht="13.2" customHeight="1" x14ac:dyDescent="0.25">
      <c r="A8" s="34" t="s">
        <v>123</v>
      </c>
      <c r="B8" s="17" t="s">
        <v>37</v>
      </c>
      <c r="C8" s="4">
        <v>10250</v>
      </c>
      <c r="D8" s="4">
        <v>11562.5</v>
      </c>
      <c r="E8" s="4">
        <v>18250</v>
      </c>
      <c r="F8" s="4">
        <v>14800</v>
      </c>
      <c r="G8" s="4">
        <v>8750</v>
      </c>
      <c r="H8" s="4">
        <v>6800</v>
      </c>
      <c r="I8" s="4">
        <v>23875</v>
      </c>
      <c r="J8" s="4">
        <v>11650</v>
      </c>
      <c r="K8" s="4">
        <v>7500</v>
      </c>
      <c r="L8" s="5">
        <v>13125</v>
      </c>
      <c r="M8" s="5">
        <v>18625</v>
      </c>
      <c r="N8" s="5">
        <v>3625</v>
      </c>
      <c r="O8" s="21">
        <f t="shared" si="0"/>
        <v>148812.5</v>
      </c>
    </row>
    <row r="9" spans="1:15" ht="13.2" customHeight="1" x14ac:dyDescent="0.25">
      <c r="A9" s="34" t="s">
        <v>124</v>
      </c>
      <c r="B9" s="17" t="s">
        <v>38</v>
      </c>
      <c r="C9" s="4">
        <v>750</v>
      </c>
      <c r="D9" s="4">
        <v>700</v>
      </c>
      <c r="E9" s="4">
        <v>550</v>
      </c>
      <c r="F9" s="4">
        <v>1000</v>
      </c>
      <c r="G9" s="4">
        <v>1900</v>
      </c>
      <c r="H9" s="4">
        <v>850</v>
      </c>
      <c r="I9" s="4">
        <v>750</v>
      </c>
      <c r="J9" s="4">
        <v>225</v>
      </c>
      <c r="K9" s="4">
        <v>850</v>
      </c>
      <c r="L9" s="5">
        <v>1400</v>
      </c>
      <c r="M9" s="5">
        <v>1650</v>
      </c>
      <c r="N9" s="5">
        <v>900</v>
      </c>
      <c r="O9" s="21">
        <f t="shared" si="0"/>
        <v>11525</v>
      </c>
    </row>
    <row r="10" spans="1:15" ht="13.2" customHeight="1" x14ac:dyDescent="0.25">
      <c r="A10" s="34" t="s">
        <v>124</v>
      </c>
      <c r="B10" s="17" t="s">
        <v>39</v>
      </c>
      <c r="C10" s="4">
        <v>4300</v>
      </c>
      <c r="D10" s="4">
        <v>3000</v>
      </c>
      <c r="E10" s="4">
        <v>2000</v>
      </c>
      <c r="F10" s="4">
        <v>1425</v>
      </c>
      <c r="G10" s="4">
        <v>1750</v>
      </c>
      <c r="H10" s="4">
        <v>1000</v>
      </c>
      <c r="I10" s="4">
        <v>3250</v>
      </c>
      <c r="J10" s="4">
        <v>2375</v>
      </c>
      <c r="K10" s="4">
        <v>3000</v>
      </c>
      <c r="L10" s="5">
        <v>3250</v>
      </c>
      <c r="M10" s="5">
        <v>3500</v>
      </c>
      <c r="N10" s="5">
        <v>3550</v>
      </c>
      <c r="O10" s="21">
        <f t="shared" si="0"/>
        <v>32400</v>
      </c>
    </row>
    <row r="11" spans="1:15" ht="13.2" customHeight="1" x14ac:dyDescent="0.25">
      <c r="A11" s="34" t="s">
        <v>121</v>
      </c>
      <c r="B11" s="17" t="s">
        <v>40</v>
      </c>
      <c r="C11" s="4">
        <v>405</v>
      </c>
      <c r="D11" s="4">
        <v>325</v>
      </c>
      <c r="E11" s="4">
        <v>500</v>
      </c>
      <c r="F11" s="4">
        <v>550</v>
      </c>
      <c r="G11" s="4">
        <v>325</v>
      </c>
      <c r="H11" s="4">
        <v>750</v>
      </c>
      <c r="I11" s="4">
        <v>1600</v>
      </c>
      <c r="J11" s="4">
        <v>675</v>
      </c>
      <c r="K11" s="4">
        <v>325</v>
      </c>
      <c r="L11" s="5">
        <v>850</v>
      </c>
      <c r="M11" s="5">
        <v>950</v>
      </c>
      <c r="N11" s="5">
        <v>450</v>
      </c>
      <c r="O11" s="21">
        <f t="shared" si="0"/>
        <v>7705</v>
      </c>
    </row>
    <row r="12" spans="1:15" ht="13.2" customHeight="1" x14ac:dyDescent="0.25">
      <c r="A12" s="34" t="s">
        <v>124</v>
      </c>
      <c r="B12" s="17" t="s">
        <v>41</v>
      </c>
      <c r="C12" s="4">
        <v>375</v>
      </c>
      <c r="D12" s="4">
        <v>575</v>
      </c>
      <c r="E12" s="4">
        <v>500</v>
      </c>
      <c r="F12" s="4">
        <v>750</v>
      </c>
      <c r="G12" s="4">
        <v>500</v>
      </c>
      <c r="H12" s="4">
        <v>200</v>
      </c>
      <c r="I12" s="4">
        <v>525</v>
      </c>
      <c r="J12" s="4">
        <v>137.5</v>
      </c>
      <c r="K12" s="4">
        <v>950</v>
      </c>
      <c r="L12" s="5">
        <v>975</v>
      </c>
      <c r="M12" s="5">
        <v>1025</v>
      </c>
      <c r="N12" s="5">
        <v>525</v>
      </c>
      <c r="O12" s="21">
        <f t="shared" si="0"/>
        <v>7037.5</v>
      </c>
    </row>
    <row r="13" spans="1:15" ht="13.2" customHeight="1" x14ac:dyDescent="0.25">
      <c r="A13" s="34" t="s">
        <v>123</v>
      </c>
      <c r="B13" s="17" t="s">
        <v>3</v>
      </c>
      <c r="C13" s="4">
        <v>306</v>
      </c>
      <c r="D13" s="4">
        <v>278</v>
      </c>
      <c r="E13" s="4">
        <v>249</v>
      </c>
      <c r="F13" s="4">
        <v>250</v>
      </c>
      <c r="G13" s="4">
        <v>221</v>
      </c>
      <c r="H13" s="4">
        <v>232</v>
      </c>
      <c r="I13" s="4">
        <v>233</v>
      </c>
      <c r="J13" s="4">
        <v>214</v>
      </c>
      <c r="K13" s="4">
        <v>205</v>
      </c>
      <c r="L13" s="5">
        <v>226</v>
      </c>
      <c r="M13" s="5">
        <v>227</v>
      </c>
      <c r="N13" s="5">
        <v>228</v>
      </c>
      <c r="O13" s="21">
        <f t="shared" si="0"/>
        <v>2869</v>
      </c>
    </row>
    <row r="14" spans="1:15" ht="13.2" customHeight="1" x14ac:dyDescent="0.25">
      <c r="A14" s="34" t="s">
        <v>122</v>
      </c>
      <c r="B14" s="17" t="s">
        <v>31</v>
      </c>
      <c r="C14" s="4">
        <v>1302.5</v>
      </c>
      <c r="D14" s="4">
        <v>1250</v>
      </c>
      <c r="E14" s="4">
        <v>1750</v>
      </c>
      <c r="F14" s="4">
        <v>1125</v>
      </c>
      <c r="G14" s="4">
        <v>700</v>
      </c>
      <c r="H14" s="4">
        <v>250</v>
      </c>
      <c r="I14" s="4">
        <v>1000</v>
      </c>
      <c r="J14" s="4">
        <v>750</v>
      </c>
      <c r="K14" s="4">
        <v>650</v>
      </c>
      <c r="L14" s="5">
        <v>675</v>
      </c>
      <c r="M14" s="5">
        <v>925</v>
      </c>
      <c r="N14" s="5">
        <v>425</v>
      </c>
      <c r="O14" s="21">
        <f t="shared" si="0"/>
        <v>10802.5</v>
      </c>
    </row>
    <row r="15" spans="1:15" ht="13.2" customHeight="1" x14ac:dyDescent="0.25">
      <c r="A15" s="34" t="s">
        <v>122</v>
      </c>
      <c r="B15" s="17" t="s">
        <v>4</v>
      </c>
      <c r="C15" s="4">
        <v>3675</v>
      </c>
      <c r="D15" s="4">
        <v>3350</v>
      </c>
      <c r="E15" s="4">
        <v>3000</v>
      </c>
      <c r="F15" s="4">
        <v>2500</v>
      </c>
      <c r="G15" s="4">
        <v>2075</v>
      </c>
      <c r="H15" s="4">
        <v>1450</v>
      </c>
      <c r="I15" s="4">
        <v>975</v>
      </c>
      <c r="J15" s="4">
        <v>925</v>
      </c>
      <c r="K15" s="4">
        <v>925</v>
      </c>
      <c r="L15" s="4">
        <v>18950</v>
      </c>
      <c r="M15" s="4">
        <v>22200</v>
      </c>
      <c r="N15" s="4">
        <v>18875</v>
      </c>
      <c r="O15" s="21">
        <f t="shared" si="0"/>
        <v>78900</v>
      </c>
    </row>
    <row r="16" spans="1:15" ht="13.2" customHeight="1" x14ac:dyDescent="0.25">
      <c r="A16" s="34" t="s">
        <v>123</v>
      </c>
      <c r="B16" s="17" t="s">
        <v>42</v>
      </c>
      <c r="C16" s="4">
        <v>4222.5</v>
      </c>
      <c r="D16" s="4">
        <v>2175</v>
      </c>
      <c r="E16" s="4">
        <v>1750</v>
      </c>
      <c r="F16" s="4">
        <v>5275</v>
      </c>
      <c r="G16" s="4">
        <v>4250</v>
      </c>
      <c r="H16" s="4">
        <v>1675</v>
      </c>
      <c r="I16" s="4">
        <v>2250</v>
      </c>
      <c r="J16" s="4">
        <v>2000</v>
      </c>
      <c r="K16" s="4">
        <v>2250</v>
      </c>
      <c r="L16" s="5">
        <v>425</v>
      </c>
      <c r="M16" s="5">
        <v>225</v>
      </c>
      <c r="N16" s="5">
        <v>725</v>
      </c>
      <c r="O16" s="21">
        <f t="shared" si="0"/>
        <v>27222.5</v>
      </c>
    </row>
    <row r="17" spans="1:15" ht="13.2" customHeight="1" x14ac:dyDescent="0.25">
      <c r="A17" s="34" t="s">
        <v>123</v>
      </c>
      <c r="B17" s="17" t="s">
        <v>5</v>
      </c>
      <c r="C17" s="4">
        <v>3800</v>
      </c>
      <c r="D17" s="4">
        <v>4725</v>
      </c>
      <c r="E17" s="4">
        <v>2000</v>
      </c>
      <c r="F17" s="4">
        <v>1500</v>
      </c>
      <c r="G17" s="4">
        <v>2500</v>
      </c>
      <c r="H17" s="4">
        <v>3000</v>
      </c>
      <c r="I17" s="4">
        <v>10500</v>
      </c>
      <c r="J17" s="4">
        <v>7750</v>
      </c>
      <c r="K17" s="4">
        <v>11450</v>
      </c>
      <c r="L17" s="5">
        <v>10450</v>
      </c>
      <c r="M17" s="5">
        <v>10950</v>
      </c>
      <c r="N17" s="5">
        <v>3500</v>
      </c>
      <c r="O17" s="21">
        <f t="shared" si="0"/>
        <v>72125</v>
      </c>
    </row>
    <row r="18" spans="1:15" ht="13.2" customHeight="1" x14ac:dyDescent="0.25">
      <c r="A18" s="34" t="s">
        <v>122</v>
      </c>
      <c r="B18" s="17" t="s">
        <v>6</v>
      </c>
      <c r="C18" s="4">
        <v>1750</v>
      </c>
      <c r="D18" s="4">
        <v>3250</v>
      </c>
      <c r="E18" s="4">
        <v>1625</v>
      </c>
      <c r="F18" s="4">
        <v>1275</v>
      </c>
      <c r="G18" s="4">
        <v>925</v>
      </c>
      <c r="H18" s="4">
        <v>500</v>
      </c>
      <c r="I18" s="4">
        <v>375</v>
      </c>
      <c r="J18" s="4">
        <v>275</v>
      </c>
      <c r="K18" s="4">
        <v>425</v>
      </c>
      <c r="L18" s="5">
        <v>1250</v>
      </c>
      <c r="M18" s="5">
        <v>1825</v>
      </c>
      <c r="N18" s="5">
        <v>1888</v>
      </c>
      <c r="O18" s="21">
        <f t="shared" si="0"/>
        <v>15363</v>
      </c>
    </row>
    <row r="19" spans="1:15" ht="13.2" customHeight="1" x14ac:dyDescent="0.25">
      <c r="A19" s="34" t="s">
        <v>122</v>
      </c>
      <c r="B19" s="17" t="s">
        <v>43</v>
      </c>
      <c r="C19" s="4">
        <v>5750</v>
      </c>
      <c r="D19" s="4">
        <v>10150</v>
      </c>
      <c r="E19" s="4">
        <v>10000</v>
      </c>
      <c r="F19" s="4">
        <v>6000</v>
      </c>
      <c r="G19" s="4">
        <v>7750</v>
      </c>
      <c r="H19" s="4">
        <v>3125</v>
      </c>
      <c r="I19" s="4">
        <v>4500</v>
      </c>
      <c r="J19" s="4">
        <v>2250</v>
      </c>
      <c r="K19" s="4">
        <v>2800</v>
      </c>
      <c r="L19" s="5">
        <v>4550</v>
      </c>
      <c r="M19" s="5">
        <v>9800</v>
      </c>
      <c r="N19" s="5">
        <v>7800</v>
      </c>
      <c r="O19" s="21">
        <f t="shared" si="0"/>
        <v>74475</v>
      </c>
    </row>
    <row r="20" spans="1:15" ht="13.2" customHeight="1" x14ac:dyDescent="0.25">
      <c r="A20" s="34" t="s">
        <v>124</v>
      </c>
      <c r="B20" s="17" t="s">
        <v>44</v>
      </c>
      <c r="C20" s="4">
        <v>2250</v>
      </c>
      <c r="D20" s="4">
        <v>1600</v>
      </c>
      <c r="E20" s="4">
        <v>750</v>
      </c>
      <c r="F20" s="4">
        <v>675</v>
      </c>
      <c r="G20" s="4">
        <v>725</v>
      </c>
      <c r="H20" s="4">
        <v>325</v>
      </c>
      <c r="I20" s="4">
        <v>500</v>
      </c>
      <c r="J20" s="4">
        <v>725</v>
      </c>
      <c r="K20" s="4">
        <v>650</v>
      </c>
      <c r="L20" s="5">
        <v>800</v>
      </c>
      <c r="M20" s="5">
        <v>875</v>
      </c>
      <c r="N20" s="5">
        <v>675</v>
      </c>
      <c r="O20" s="21">
        <f t="shared" si="0"/>
        <v>10550</v>
      </c>
    </row>
    <row r="21" spans="1:15" ht="13.2" customHeight="1" x14ac:dyDescent="0.25">
      <c r="A21" s="34" t="s">
        <v>124</v>
      </c>
      <c r="B21" s="17" t="s">
        <v>7</v>
      </c>
      <c r="C21" s="4">
        <v>750</v>
      </c>
      <c r="D21" s="4">
        <v>1025</v>
      </c>
      <c r="E21" s="4">
        <v>1250</v>
      </c>
      <c r="F21" s="4">
        <v>875</v>
      </c>
      <c r="G21" s="4">
        <v>1150</v>
      </c>
      <c r="H21" s="4">
        <v>675</v>
      </c>
      <c r="I21" s="4">
        <v>1000</v>
      </c>
      <c r="J21" s="4">
        <v>700</v>
      </c>
      <c r="K21" s="4">
        <v>1000</v>
      </c>
      <c r="L21" s="5">
        <v>1625</v>
      </c>
      <c r="M21" s="5">
        <v>2125</v>
      </c>
      <c r="N21" s="5">
        <v>1300</v>
      </c>
      <c r="O21" s="21">
        <f t="shared" si="0"/>
        <v>13475</v>
      </c>
    </row>
    <row r="22" spans="1:15" ht="13.2" customHeight="1" x14ac:dyDescent="0.25">
      <c r="A22" s="34" t="s">
        <v>123</v>
      </c>
      <c r="B22" s="17" t="s">
        <v>45</v>
      </c>
      <c r="C22" s="4">
        <v>2750</v>
      </c>
      <c r="D22" s="4">
        <v>1900</v>
      </c>
      <c r="E22" s="4">
        <v>1500</v>
      </c>
      <c r="F22" s="4">
        <v>2000</v>
      </c>
      <c r="G22" s="4">
        <v>5100</v>
      </c>
      <c r="H22" s="4">
        <v>4000</v>
      </c>
      <c r="I22" s="4">
        <v>5000</v>
      </c>
      <c r="J22" s="4">
        <v>6162.5</v>
      </c>
      <c r="K22" s="4">
        <v>7900</v>
      </c>
      <c r="L22" s="5">
        <v>7625</v>
      </c>
      <c r="M22" s="5">
        <v>7525</v>
      </c>
      <c r="N22" s="5">
        <v>9100</v>
      </c>
      <c r="O22" s="21">
        <f t="shared" si="0"/>
        <v>60562.5</v>
      </c>
    </row>
    <row r="23" spans="1:15" ht="13.2" customHeight="1" x14ac:dyDescent="0.25">
      <c r="A23" s="34" t="s">
        <v>123</v>
      </c>
      <c r="B23" s="17" t="s">
        <v>46</v>
      </c>
      <c r="C23" s="4">
        <v>52750</v>
      </c>
      <c r="D23" s="4">
        <v>44487.5</v>
      </c>
      <c r="E23" s="4">
        <v>49000</v>
      </c>
      <c r="F23" s="4">
        <v>52500</v>
      </c>
      <c r="G23" s="4">
        <v>43750</v>
      </c>
      <c r="H23" s="4">
        <v>21250</v>
      </c>
      <c r="I23" s="4">
        <v>39500</v>
      </c>
      <c r="J23" s="4">
        <v>18500</v>
      </c>
      <c r="K23" s="4">
        <v>13250</v>
      </c>
      <c r="L23" s="5">
        <v>2375</v>
      </c>
      <c r="M23" s="5">
        <v>3625</v>
      </c>
      <c r="N23" s="5">
        <v>3250</v>
      </c>
      <c r="O23" s="21">
        <f t="shared" si="0"/>
        <v>344237.5</v>
      </c>
    </row>
    <row r="24" spans="1:15" ht="13.2" customHeight="1" x14ac:dyDescent="0.25">
      <c r="A24" s="34" t="s">
        <v>121</v>
      </c>
      <c r="B24" s="17" t="s">
        <v>47</v>
      </c>
      <c r="C24" s="4">
        <v>4125</v>
      </c>
      <c r="D24" s="4">
        <v>2250</v>
      </c>
      <c r="E24" s="4">
        <v>3750</v>
      </c>
      <c r="F24" s="4">
        <v>2250</v>
      </c>
      <c r="G24" s="4">
        <v>4000</v>
      </c>
      <c r="H24" s="4">
        <v>5750</v>
      </c>
      <c r="I24" s="4">
        <v>3500</v>
      </c>
      <c r="J24" s="4">
        <v>1750</v>
      </c>
      <c r="K24" s="4">
        <v>1250</v>
      </c>
      <c r="L24" s="5">
        <v>17000</v>
      </c>
      <c r="M24" s="5">
        <v>20400</v>
      </c>
      <c r="N24" s="5">
        <v>10900</v>
      </c>
      <c r="O24" s="21">
        <f t="shared" si="0"/>
        <v>76925</v>
      </c>
    </row>
    <row r="25" spans="1:15" ht="13.2" customHeight="1" x14ac:dyDescent="0.25">
      <c r="A25" s="34" t="s">
        <v>123</v>
      </c>
      <c r="B25" s="17" t="s">
        <v>9</v>
      </c>
      <c r="C25" s="4">
        <v>27650</v>
      </c>
      <c r="D25" s="4">
        <v>19742.5</v>
      </c>
      <c r="E25" s="4">
        <v>15000</v>
      </c>
      <c r="F25" s="4">
        <v>12500</v>
      </c>
      <c r="G25" s="4">
        <v>11250</v>
      </c>
      <c r="H25" s="4">
        <v>9500</v>
      </c>
      <c r="I25" s="4">
        <v>13250</v>
      </c>
      <c r="J25" s="4">
        <v>19325</v>
      </c>
      <c r="K25" s="4">
        <v>24000</v>
      </c>
      <c r="L25" s="5">
        <v>26000</v>
      </c>
      <c r="M25" s="5">
        <v>28500</v>
      </c>
      <c r="N25" s="5">
        <v>29000</v>
      </c>
      <c r="O25" s="21">
        <f t="shared" si="0"/>
        <v>235717.5</v>
      </c>
    </row>
    <row r="26" spans="1:15" ht="13.2" customHeight="1" x14ac:dyDescent="0.25">
      <c r="A26" s="34" t="s">
        <v>121</v>
      </c>
      <c r="B26" s="17" t="s">
        <v>10</v>
      </c>
      <c r="C26" s="4">
        <v>20050</v>
      </c>
      <c r="D26" s="4">
        <v>28850</v>
      </c>
      <c r="E26" s="4">
        <v>6750</v>
      </c>
      <c r="F26" s="4">
        <v>4500</v>
      </c>
      <c r="G26" s="4">
        <v>12700</v>
      </c>
      <c r="H26" s="4">
        <v>9350</v>
      </c>
      <c r="I26" s="4">
        <v>17250</v>
      </c>
      <c r="J26" s="4">
        <v>14500</v>
      </c>
      <c r="K26" s="4">
        <v>21750</v>
      </c>
      <c r="L26" s="5">
        <v>19625</v>
      </c>
      <c r="M26" s="5">
        <v>21875</v>
      </c>
      <c r="N26" s="5">
        <v>14375</v>
      </c>
      <c r="O26" s="21">
        <f t="shared" si="0"/>
        <v>191575</v>
      </c>
    </row>
    <row r="27" spans="1:15" ht="13.2" customHeight="1" x14ac:dyDescent="0.25">
      <c r="A27" s="34" t="s">
        <v>124</v>
      </c>
      <c r="B27" s="17" t="s">
        <v>32</v>
      </c>
      <c r="C27" s="4">
        <v>250</v>
      </c>
      <c r="D27" s="4">
        <v>875</v>
      </c>
      <c r="E27" s="4">
        <v>125</v>
      </c>
      <c r="F27" s="4">
        <v>225</v>
      </c>
      <c r="G27" s="4">
        <v>1150</v>
      </c>
      <c r="H27" s="4">
        <v>950</v>
      </c>
      <c r="I27" s="4">
        <v>1450</v>
      </c>
      <c r="J27" s="4">
        <v>445</v>
      </c>
      <c r="K27" s="4">
        <v>500</v>
      </c>
      <c r="L27" s="5">
        <v>700</v>
      </c>
      <c r="M27" s="5">
        <v>925</v>
      </c>
      <c r="N27" s="5">
        <v>675</v>
      </c>
      <c r="O27" s="21">
        <f t="shared" si="0"/>
        <v>8270</v>
      </c>
    </row>
    <row r="28" spans="1:15" ht="13.2" customHeight="1" x14ac:dyDescent="0.25">
      <c r="A28" s="34" t="s">
        <v>121</v>
      </c>
      <c r="B28" s="17" t="s">
        <v>48</v>
      </c>
      <c r="C28" s="4">
        <v>5500</v>
      </c>
      <c r="D28" s="4">
        <v>8550</v>
      </c>
      <c r="E28" s="4">
        <v>11250</v>
      </c>
      <c r="F28" s="4">
        <v>15125</v>
      </c>
      <c r="G28" s="4">
        <v>13750</v>
      </c>
      <c r="H28" s="4">
        <v>14500</v>
      </c>
      <c r="I28" s="4">
        <v>26250</v>
      </c>
      <c r="J28" s="4">
        <v>9000</v>
      </c>
      <c r="K28" s="4">
        <v>4500</v>
      </c>
      <c r="L28" s="5">
        <v>4000</v>
      </c>
      <c r="M28" s="5">
        <v>14425</v>
      </c>
      <c r="N28" s="5">
        <v>14175</v>
      </c>
      <c r="O28" s="21">
        <f t="shared" si="0"/>
        <v>141025</v>
      </c>
    </row>
    <row r="29" spans="1:15" ht="13.2" customHeight="1" x14ac:dyDescent="0.25">
      <c r="A29" s="34" t="s">
        <v>124</v>
      </c>
      <c r="B29" s="17" t="s">
        <v>49</v>
      </c>
      <c r="C29" s="4">
        <v>1437.5</v>
      </c>
      <c r="D29" s="4">
        <v>1050</v>
      </c>
      <c r="E29" s="4">
        <v>875</v>
      </c>
      <c r="F29" s="4">
        <v>1350</v>
      </c>
      <c r="G29" s="4">
        <v>875</v>
      </c>
      <c r="H29" s="4">
        <v>650</v>
      </c>
      <c r="I29" s="4">
        <v>425</v>
      </c>
      <c r="J29" s="4">
        <v>650</v>
      </c>
      <c r="K29" s="4">
        <v>475</v>
      </c>
      <c r="L29" s="5">
        <v>1075</v>
      </c>
      <c r="M29" s="5">
        <v>1200</v>
      </c>
      <c r="N29" s="5">
        <v>1025</v>
      </c>
      <c r="O29" s="21">
        <f t="shared" si="0"/>
        <v>11087.5</v>
      </c>
    </row>
    <row r="30" spans="1:15" ht="13.2" customHeight="1" x14ac:dyDescent="0.25">
      <c r="A30" s="34" t="s">
        <v>123</v>
      </c>
      <c r="B30" s="17" t="s">
        <v>50</v>
      </c>
      <c r="C30" s="4">
        <v>1500</v>
      </c>
      <c r="D30" s="4">
        <v>1150</v>
      </c>
      <c r="E30" s="4">
        <v>1500</v>
      </c>
      <c r="F30" s="4">
        <v>2175</v>
      </c>
      <c r="G30" s="4">
        <v>2575</v>
      </c>
      <c r="H30" s="4">
        <v>3250</v>
      </c>
      <c r="I30" s="4">
        <v>3250</v>
      </c>
      <c r="J30" s="4">
        <v>1750</v>
      </c>
      <c r="K30" s="4">
        <v>1850</v>
      </c>
      <c r="L30" s="5">
        <v>3000</v>
      </c>
      <c r="M30" s="5">
        <v>3550</v>
      </c>
      <c r="N30" s="5">
        <v>3300</v>
      </c>
      <c r="O30" s="21">
        <f t="shared" si="0"/>
        <v>28850</v>
      </c>
    </row>
    <row r="31" spans="1:15" ht="13.2" customHeight="1" x14ac:dyDescent="0.25">
      <c r="A31" s="34" t="s">
        <v>121</v>
      </c>
      <c r="B31" s="17" t="s">
        <v>12</v>
      </c>
      <c r="C31" s="4">
        <v>500</v>
      </c>
      <c r="D31" s="4">
        <v>350</v>
      </c>
      <c r="E31" s="4">
        <v>475</v>
      </c>
      <c r="F31" s="4">
        <v>300</v>
      </c>
      <c r="G31" s="4">
        <v>1000</v>
      </c>
      <c r="H31" s="4">
        <v>525</v>
      </c>
      <c r="I31" s="4">
        <v>325</v>
      </c>
      <c r="J31" s="4">
        <v>100</v>
      </c>
      <c r="K31" s="4">
        <v>700</v>
      </c>
      <c r="L31" s="5">
        <v>600</v>
      </c>
      <c r="M31" s="5">
        <v>725</v>
      </c>
      <c r="N31" s="5">
        <v>475</v>
      </c>
      <c r="O31" s="21">
        <f t="shared" si="0"/>
        <v>6075</v>
      </c>
    </row>
    <row r="32" spans="1:15" ht="13.2" customHeight="1" x14ac:dyDescent="0.25">
      <c r="A32" s="34" t="s">
        <v>123</v>
      </c>
      <c r="B32" s="17" t="s">
        <v>51</v>
      </c>
      <c r="C32" s="4">
        <v>2750</v>
      </c>
      <c r="D32" s="4">
        <v>3750</v>
      </c>
      <c r="E32" s="4">
        <v>3500</v>
      </c>
      <c r="F32" s="4">
        <v>3250</v>
      </c>
      <c r="G32" s="4">
        <v>5500</v>
      </c>
      <c r="H32" s="4">
        <v>5250</v>
      </c>
      <c r="I32" s="4">
        <v>4000</v>
      </c>
      <c r="J32" s="4">
        <v>2250</v>
      </c>
      <c r="K32" s="4">
        <v>2500</v>
      </c>
      <c r="L32" s="5">
        <v>175</v>
      </c>
      <c r="M32" s="5">
        <v>425</v>
      </c>
      <c r="N32" s="5">
        <v>250</v>
      </c>
      <c r="O32" s="21">
        <f t="shared" si="0"/>
        <v>33600</v>
      </c>
    </row>
    <row r="33" spans="1:17" ht="13.2" customHeight="1" x14ac:dyDescent="0.25">
      <c r="A33" s="34" t="s">
        <v>124</v>
      </c>
      <c r="B33" s="17" t="s">
        <v>13</v>
      </c>
      <c r="C33" s="4">
        <v>725</v>
      </c>
      <c r="D33" s="4">
        <v>800</v>
      </c>
      <c r="E33" s="4">
        <v>700</v>
      </c>
      <c r="F33" s="4">
        <v>850</v>
      </c>
      <c r="G33" s="4">
        <v>750</v>
      </c>
      <c r="H33" s="4">
        <v>200</v>
      </c>
      <c r="I33" s="4">
        <v>425</v>
      </c>
      <c r="J33" s="4">
        <v>150</v>
      </c>
      <c r="K33" s="4">
        <v>350</v>
      </c>
      <c r="L33" s="5">
        <v>375</v>
      </c>
      <c r="M33" s="5">
        <v>625</v>
      </c>
      <c r="N33" s="5">
        <v>375</v>
      </c>
      <c r="O33" s="21">
        <f t="shared" si="0"/>
        <v>6325</v>
      </c>
    </row>
    <row r="34" spans="1:17" ht="13.2" customHeight="1" x14ac:dyDescent="0.25">
      <c r="A34" s="34" t="s">
        <v>123</v>
      </c>
      <c r="B34" s="17" t="s">
        <v>14</v>
      </c>
      <c r="C34" s="4">
        <v>580</v>
      </c>
      <c r="D34" s="4">
        <v>381</v>
      </c>
      <c r="E34" s="4">
        <v>282</v>
      </c>
      <c r="F34" s="4">
        <v>183</v>
      </c>
      <c r="G34" s="4">
        <v>148</v>
      </c>
      <c r="H34" s="4">
        <v>194</v>
      </c>
      <c r="I34" s="4">
        <v>195</v>
      </c>
      <c r="J34" s="4">
        <v>196</v>
      </c>
      <c r="K34" s="4">
        <v>157</v>
      </c>
      <c r="L34" s="5">
        <v>228</v>
      </c>
      <c r="M34" s="5">
        <v>329</v>
      </c>
      <c r="N34" s="5">
        <v>330</v>
      </c>
      <c r="O34" s="21">
        <f t="shared" si="0"/>
        <v>3203</v>
      </c>
    </row>
    <row r="35" spans="1:17" ht="13.2" customHeight="1" x14ac:dyDescent="0.25">
      <c r="A35" s="34" t="s">
        <v>121</v>
      </c>
      <c r="B35" s="17" t="s">
        <v>15</v>
      </c>
      <c r="C35" s="4">
        <v>2605</v>
      </c>
      <c r="D35" s="4">
        <v>2232.5</v>
      </c>
      <c r="E35" s="4">
        <v>1525</v>
      </c>
      <c r="F35" s="4">
        <v>2650</v>
      </c>
      <c r="G35" s="4">
        <v>3000</v>
      </c>
      <c r="H35" s="4">
        <v>1300</v>
      </c>
      <c r="I35" s="4">
        <v>2725</v>
      </c>
      <c r="J35" s="4">
        <v>1975</v>
      </c>
      <c r="K35" s="4">
        <v>1225</v>
      </c>
      <c r="L35" s="5">
        <v>22913</v>
      </c>
      <c r="M35" s="5">
        <v>28413</v>
      </c>
      <c r="N35" s="5">
        <v>30413</v>
      </c>
      <c r="O35" s="21">
        <f t="shared" si="0"/>
        <v>100976.5</v>
      </c>
    </row>
    <row r="36" spans="1:17" ht="13.2" customHeight="1" x14ac:dyDescent="0.25">
      <c r="A36" s="34" t="s">
        <v>123</v>
      </c>
      <c r="B36" s="17" t="s">
        <v>52</v>
      </c>
      <c r="C36" s="4">
        <v>425</v>
      </c>
      <c r="D36" s="4">
        <v>325</v>
      </c>
      <c r="E36" s="4">
        <v>600</v>
      </c>
      <c r="F36" s="4">
        <v>750</v>
      </c>
      <c r="G36" s="4">
        <v>400</v>
      </c>
      <c r="H36" s="4">
        <v>125</v>
      </c>
      <c r="I36" s="4">
        <v>662.5</v>
      </c>
      <c r="J36" s="4">
        <v>750</v>
      </c>
      <c r="K36" s="4">
        <v>550</v>
      </c>
      <c r="L36" s="5">
        <v>1075</v>
      </c>
      <c r="M36" s="5">
        <v>1575</v>
      </c>
      <c r="N36" s="5">
        <v>1325</v>
      </c>
      <c r="O36" s="21">
        <f t="shared" si="0"/>
        <v>8562.5</v>
      </c>
    </row>
    <row r="37" spans="1:17" ht="13.2" customHeight="1" x14ac:dyDescent="0.25">
      <c r="A37" s="34" t="s">
        <v>121</v>
      </c>
      <c r="B37" s="17" t="s">
        <v>53</v>
      </c>
      <c r="C37" s="4">
        <v>38000</v>
      </c>
      <c r="D37" s="4">
        <v>25375</v>
      </c>
      <c r="E37" s="4">
        <v>16812.5</v>
      </c>
      <c r="F37" s="4">
        <v>17075</v>
      </c>
      <c r="G37" s="4">
        <v>8225</v>
      </c>
      <c r="H37" s="4">
        <v>26150</v>
      </c>
      <c r="I37" s="4">
        <v>31175</v>
      </c>
      <c r="J37" s="4">
        <v>9025</v>
      </c>
      <c r="K37" s="4">
        <v>10950</v>
      </c>
      <c r="L37" s="5">
        <v>26925</v>
      </c>
      <c r="M37" s="5">
        <v>29425</v>
      </c>
      <c r="N37" s="5">
        <v>31925</v>
      </c>
      <c r="O37" s="21">
        <f t="shared" si="0"/>
        <v>271062.5</v>
      </c>
      <c r="Q37" s="20"/>
    </row>
    <row r="38" spans="1:17" ht="13.2" customHeight="1" x14ac:dyDescent="0.25">
      <c r="A38" s="34" t="s">
        <v>121</v>
      </c>
      <c r="B38" s="17" t="s">
        <v>19</v>
      </c>
      <c r="C38" s="5">
        <v>173800</v>
      </c>
      <c r="D38" s="5">
        <v>165250</v>
      </c>
      <c r="E38" s="5">
        <v>172000</v>
      </c>
      <c r="F38" s="4">
        <v>140125</v>
      </c>
      <c r="G38" s="4">
        <v>134750</v>
      </c>
      <c r="H38" s="4">
        <v>106750</v>
      </c>
      <c r="I38" s="4">
        <v>225150</v>
      </c>
      <c r="J38" s="4">
        <v>164650</v>
      </c>
      <c r="K38" s="4">
        <v>156300</v>
      </c>
      <c r="L38" s="5">
        <v>193800</v>
      </c>
      <c r="M38" s="5">
        <v>218800</v>
      </c>
      <c r="N38" s="5">
        <v>171300</v>
      </c>
      <c r="O38" s="21">
        <f t="shared" si="0"/>
        <v>2022675</v>
      </c>
    </row>
    <row r="39" spans="1:17" ht="13.2" customHeight="1" x14ac:dyDescent="0.25">
      <c r="A39" s="34" t="s">
        <v>121</v>
      </c>
      <c r="B39" s="17" t="s">
        <v>18</v>
      </c>
      <c r="C39" s="5">
        <v>3200</v>
      </c>
      <c r="D39" s="5">
        <v>2100</v>
      </c>
      <c r="E39" s="5">
        <v>1100</v>
      </c>
      <c r="F39" s="4">
        <v>980</v>
      </c>
      <c r="G39" s="4">
        <v>1020</v>
      </c>
      <c r="H39" s="4">
        <v>1150</v>
      </c>
      <c r="I39" s="4">
        <v>1050</v>
      </c>
      <c r="J39" s="4">
        <v>1250</v>
      </c>
      <c r="K39" s="4">
        <v>1200</v>
      </c>
      <c r="L39" s="5">
        <v>2320</v>
      </c>
      <c r="M39" s="5">
        <v>3580</v>
      </c>
      <c r="N39" s="5">
        <v>3340</v>
      </c>
      <c r="O39" s="21">
        <f t="shared" si="0"/>
        <v>22290</v>
      </c>
    </row>
    <row r="40" spans="1:17" ht="13.2" customHeight="1" x14ac:dyDescent="0.25">
      <c r="A40" s="34" t="s">
        <v>123</v>
      </c>
      <c r="B40" s="17" t="s">
        <v>17</v>
      </c>
      <c r="C40" s="5">
        <v>0</v>
      </c>
      <c r="D40" s="5">
        <v>0</v>
      </c>
      <c r="E40" s="5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5">
        <v>0</v>
      </c>
      <c r="M40" s="5">
        <v>0</v>
      </c>
      <c r="N40" s="5">
        <v>0</v>
      </c>
      <c r="O40" s="21">
        <f t="shared" si="0"/>
        <v>0</v>
      </c>
    </row>
    <row r="41" spans="1:17" s="20" customFormat="1" ht="15" customHeight="1" x14ac:dyDescent="0.3">
      <c r="A41" s="40" t="s">
        <v>125</v>
      </c>
      <c r="B41" s="41"/>
      <c r="C41" s="21">
        <f t="shared" ref="C41:N41" si="1">SUM(C2:C40)</f>
        <v>610679.5</v>
      </c>
      <c r="D41" s="21">
        <f t="shared" si="1"/>
        <v>523939.5</v>
      </c>
      <c r="E41" s="21">
        <f t="shared" si="1"/>
        <v>464372.5</v>
      </c>
      <c r="F41" s="21">
        <f t="shared" si="1"/>
        <v>481279.5</v>
      </c>
      <c r="G41" s="21">
        <f t="shared" si="1"/>
        <v>451385</v>
      </c>
      <c r="H41" s="21">
        <f t="shared" si="1"/>
        <v>342861</v>
      </c>
      <c r="I41" s="21">
        <f t="shared" si="1"/>
        <v>636706.5</v>
      </c>
      <c r="J41" s="21">
        <f t="shared" si="1"/>
        <v>424188</v>
      </c>
      <c r="K41" s="21">
        <f t="shared" si="1"/>
        <v>448537</v>
      </c>
      <c r="L41" s="21">
        <f t="shared" si="1"/>
        <v>606544</v>
      </c>
      <c r="M41" s="21">
        <f t="shared" si="1"/>
        <v>706328</v>
      </c>
      <c r="N41" s="21">
        <f t="shared" si="1"/>
        <v>579005</v>
      </c>
      <c r="O41" s="21">
        <f t="shared" si="0"/>
        <v>6275825.5</v>
      </c>
    </row>
  </sheetData>
  <mergeCells count="1">
    <mergeCell ref="A41:B41"/>
  </mergeCells>
  <printOptions horizontalCentered="1"/>
  <pageMargins left="0.70866141732283472" right="0.70866141732283472" top="0.39370078740157483" bottom="0.39370078740157483" header="0" footer="0.31496062992125984"/>
  <pageSetup paperSize="9" scale="9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B9C8A-1029-48BA-8608-EEF1C1434326}">
  <dimension ref="A1:Q51"/>
  <sheetViews>
    <sheetView view="pageBreakPreview" zoomScaleNormal="100" workbookViewId="0">
      <pane xSplit="2" ySplit="1" topLeftCell="C2" activePane="bottomRight" state="frozen"/>
      <selection pane="topRight"/>
      <selection pane="bottomLeft"/>
      <selection pane="bottomRight" sqref="A1:XFD1"/>
    </sheetView>
  </sheetViews>
  <sheetFormatPr defaultColWidth="9.109375" defaultRowHeight="12" x14ac:dyDescent="0.25"/>
  <cols>
    <col min="1" max="1" width="21.6640625" style="16" bestFit="1" customWidth="1"/>
    <col min="2" max="2" width="20.21875" style="11" customWidth="1"/>
    <col min="3" max="4" width="7.109375" style="11" customWidth="1"/>
    <col min="5" max="14" width="8.77734375" style="11" customWidth="1"/>
    <col min="15" max="15" width="11.5546875" style="11" customWidth="1"/>
    <col min="16" max="16" width="22.5546875" style="11" customWidth="1"/>
    <col min="17" max="17" width="13.88671875" style="11" customWidth="1"/>
    <col min="18" max="16384" width="9.109375" style="11"/>
  </cols>
  <sheetData>
    <row r="1" spans="1:15" s="1" customFormat="1" ht="14.4" x14ac:dyDescent="0.3">
      <c r="A1" s="35" t="s">
        <v>126</v>
      </c>
      <c r="B1" s="31" t="s">
        <v>127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  <c r="I1" s="3" t="s">
        <v>26</v>
      </c>
      <c r="J1" s="3" t="s">
        <v>27</v>
      </c>
      <c r="K1" s="6" t="s">
        <v>28</v>
      </c>
      <c r="L1" s="3" t="s">
        <v>29</v>
      </c>
      <c r="M1" s="3" t="s">
        <v>96</v>
      </c>
      <c r="N1" s="3" t="s">
        <v>97</v>
      </c>
      <c r="O1" s="32" t="s">
        <v>128</v>
      </c>
    </row>
    <row r="2" spans="1:15" s="23" customFormat="1" ht="13.2" customHeight="1" x14ac:dyDescent="0.3">
      <c r="A2" s="36" t="s">
        <v>122</v>
      </c>
      <c r="B2" s="9" t="str">
        <f>'[2]Prod ikan rekap alat TPI'!B5</f>
        <v>Ayam ayam</v>
      </c>
      <c r="C2" s="9">
        <f>'[2]Prod ikan TPI (2)'!Q4</f>
        <v>5764.6</v>
      </c>
      <c r="D2" s="9">
        <f>'[2]Prod ikan TPI (2)'!AF4</f>
        <v>3432.0000000000005</v>
      </c>
      <c r="E2" s="9">
        <f>'[2]Prod ikan TPI (2)'!AU4</f>
        <v>3581.6000000000004</v>
      </c>
      <c r="F2" s="9">
        <f>'[2]Prod ikan TPI (2)'!BJ4</f>
        <v>4876.6000000000004</v>
      </c>
      <c r="G2" s="9">
        <f>'[2]Prod ikan TPI (2)'!BY4</f>
        <v>4367.2</v>
      </c>
      <c r="H2" s="9">
        <f>'[2]Prod ikan TPI (2)'!CN4</f>
        <v>8652</v>
      </c>
      <c r="I2" s="9">
        <f>'[2]Prod ikan TPI (2)'!DD4</f>
        <v>3990.2</v>
      </c>
      <c r="J2" s="9">
        <f>'[2]Prod ikan TPI (2)'!DS4</f>
        <v>5378.4</v>
      </c>
      <c r="K2" s="9">
        <f>'[2]Prod ikan TPI (2)'!EH4</f>
        <v>7178.2</v>
      </c>
      <c r="L2" s="10">
        <f>'[2]Prod ikan TPI (2)'!EW4</f>
        <v>1800</v>
      </c>
      <c r="M2" s="10">
        <f>'[2]Prod ikan TPI (2)'!FL4</f>
        <v>6600</v>
      </c>
      <c r="N2" s="10">
        <f>'[2]Prod ikan TPI (2)'!GA4</f>
        <v>1720</v>
      </c>
      <c r="O2" s="13">
        <f t="shared" ref="O2:O50" si="0">SUM(C2:N2)</f>
        <v>57340.800000000003</v>
      </c>
    </row>
    <row r="3" spans="1:15" s="23" customFormat="1" ht="13.2" customHeight="1" x14ac:dyDescent="0.3">
      <c r="A3" s="36" t="s">
        <v>121</v>
      </c>
      <c r="B3" s="9" t="str">
        <f>'[2]Prod ikan rekap alat TPI'!B6</f>
        <v>Bawal laut</v>
      </c>
      <c r="C3" s="9">
        <f>'[2]Prod ikan TPI (2)'!Q5</f>
        <v>148</v>
      </c>
      <c r="D3" s="9">
        <f>'[2]Prod ikan TPI (2)'!AF5</f>
        <v>260</v>
      </c>
      <c r="E3" s="9">
        <f>'[2]Prod ikan TPI (2)'!AU5</f>
        <v>185</v>
      </c>
      <c r="F3" s="9">
        <f>'[2]Prod ikan TPI (2)'!BJ5</f>
        <v>407</v>
      </c>
      <c r="G3" s="9">
        <f>'[2]Prod ikan TPI (2)'!BY5</f>
        <v>206</v>
      </c>
      <c r="H3" s="9">
        <f>'[2]Prod ikan TPI (2)'!CN5</f>
        <v>144.19999999999999</v>
      </c>
      <c r="I3" s="9">
        <f>'[2]Prod ikan TPI (2)'!DD5</f>
        <v>281</v>
      </c>
      <c r="J3" s="9">
        <f>'[2]Prod ikan TPI (2)'!DS5</f>
        <v>265.60000000000002</v>
      </c>
      <c r="K3" s="9">
        <f>'[2]Prod ikan TPI (2)'!EH5</f>
        <v>494</v>
      </c>
      <c r="L3" s="10">
        <f>'[2]Prod ikan TPI (2)'!EW5</f>
        <v>4640</v>
      </c>
      <c r="M3" s="10">
        <f>'[2]Prod ikan TPI (2)'!FL5</f>
        <v>680</v>
      </c>
      <c r="N3" s="10">
        <f>'[2]Prod ikan TPI (2)'!GA5</f>
        <v>800</v>
      </c>
      <c r="O3" s="13">
        <f t="shared" si="0"/>
        <v>8510.7999999999993</v>
      </c>
    </row>
    <row r="4" spans="1:15" s="23" customFormat="1" ht="13.2" customHeight="1" x14ac:dyDescent="0.3">
      <c r="A4" s="36" t="s">
        <v>121</v>
      </c>
      <c r="B4" s="9" t="str">
        <f>'[2]Prod ikan rekap alat TPI'!B7</f>
        <v>Cakalang</v>
      </c>
      <c r="C4" s="9">
        <f>'[2]Prod ikan TPI (2)'!Q6</f>
        <v>128546.34999999999</v>
      </c>
      <c r="D4" s="9">
        <f>'[2]Prod ikan TPI (2)'!AF6</f>
        <v>114864.75</v>
      </c>
      <c r="E4" s="9">
        <f>'[2]Prod ikan TPI (2)'!AU6</f>
        <v>205776.5</v>
      </c>
      <c r="F4" s="9">
        <f>'[2]Prod ikan TPI (2)'!BJ6</f>
        <v>184943</v>
      </c>
      <c r="G4" s="9">
        <f>'[2]Prod ikan TPI (2)'!BY6</f>
        <v>118703.85</v>
      </c>
      <c r="H4" s="9">
        <f>'[2]Prod ikan TPI (2)'!CN6</f>
        <v>155044.47</v>
      </c>
      <c r="I4" s="9">
        <f>'[2]Prod ikan TPI (2)'!DD6</f>
        <v>207343.5</v>
      </c>
      <c r="J4" s="9">
        <f>'[2]Prod ikan TPI (2)'!DS6</f>
        <v>257137.2</v>
      </c>
      <c r="K4" s="9">
        <f>'[2]Prod ikan TPI (2)'!EH6</f>
        <v>223713</v>
      </c>
      <c r="L4" s="10">
        <f>'[2]Prod ikan TPI (2)'!EW6</f>
        <v>243633.25</v>
      </c>
      <c r="M4" s="10">
        <f>'[2]Prod ikan TPI (2)'!FL6</f>
        <v>207396.17500000002</v>
      </c>
      <c r="N4" s="10">
        <f>'[2]Prod ikan TPI (2)'!GA6</f>
        <v>243512.5</v>
      </c>
      <c r="O4" s="13">
        <f t="shared" si="0"/>
        <v>2290614.5449999999</v>
      </c>
    </row>
    <row r="5" spans="1:15" s="23" customFormat="1" ht="13.2" customHeight="1" x14ac:dyDescent="0.3">
      <c r="A5" s="36" t="s">
        <v>121</v>
      </c>
      <c r="B5" s="9" t="str">
        <f>'[2]Prod ikan rekap alat TPI'!B8</f>
        <v>Cendro</v>
      </c>
      <c r="C5" s="9">
        <f>'[2]Prod ikan TPI (2)'!Q7</f>
        <v>1069.1999999999998</v>
      </c>
      <c r="D5" s="9">
        <f>'[2]Prod ikan TPI (2)'!AF7</f>
        <v>826</v>
      </c>
      <c r="E5" s="9">
        <f>'[2]Prod ikan TPI (2)'!AU7</f>
        <v>1871.1</v>
      </c>
      <c r="F5" s="9">
        <f>'[2]Prod ikan TPI (2)'!BJ7</f>
        <v>1722.6</v>
      </c>
      <c r="G5" s="9">
        <f>'[2]Prod ikan TPI (2)'!BY7</f>
        <v>1776</v>
      </c>
      <c r="H5" s="9">
        <f>'[2]Prod ikan TPI (2)'!CN7</f>
        <v>1555</v>
      </c>
      <c r="I5" s="9">
        <f>'[2]Prod ikan TPI (2)'!DD7</f>
        <v>1296.23</v>
      </c>
      <c r="J5" s="9">
        <f>'[2]Prod ikan TPI (2)'!DS7</f>
        <v>348</v>
      </c>
      <c r="K5" s="9">
        <f>'[2]Prod ikan TPI (2)'!EH7</f>
        <v>627.20000000000005</v>
      </c>
      <c r="L5" s="10">
        <f>'[2]Prod ikan TPI (2)'!EW7</f>
        <v>6050</v>
      </c>
      <c r="M5" s="10">
        <f>'[2]Prod ikan TPI (2)'!FL7</f>
        <v>2900</v>
      </c>
      <c r="N5" s="10">
        <f>'[2]Prod ikan TPI (2)'!GA7</f>
        <v>2000</v>
      </c>
      <c r="O5" s="13">
        <f t="shared" si="0"/>
        <v>22041.33</v>
      </c>
    </row>
    <row r="6" spans="1:15" s="23" customFormat="1" ht="13.2" customHeight="1" x14ac:dyDescent="0.3">
      <c r="A6" s="36" t="s">
        <v>123</v>
      </c>
      <c r="B6" s="9" t="str">
        <f>'[2]Prod ikan rekap alat TPI'!B10</f>
        <v>Ekor kuning</v>
      </c>
      <c r="C6" s="9">
        <f>'[2]Prod ikan TPI (2)'!Q9</f>
        <v>1386</v>
      </c>
      <c r="D6" s="9">
        <f>'[2]Prod ikan TPI (2)'!AF9</f>
        <v>2360</v>
      </c>
      <c r="E6" s="9">
        <f>'[2]Prod ikan TPI (2)'!AU9</f>
        <v>2158.1999999999998</v>
      </c>
      <c r="F6" s="9">
        <f>'[2]Prod ikan TPI (2)'!BJ9</f>
        <v>1831.5</v>
      </c>
      <c r="G6" s="9">
        <f>'[2]Prod ikan TPI (2)'!BY9</f>
        <v>1184</v>
      </c>
      <c r="H6" s="9">
        <f>'[2]Prod ikan TPI (2)'!CN9</f>
        <v>2177</v>
      </c>
      <c r="I6" s="9">
        <f>'[2]Prod ikan TPI (2)'!DD9</f>
        <v>2070.9</v>
      </c>
      <c r="J6" s="9">
        <f>'[2]Prod ikan TPI (2)'!DS9</f>
        <v>1044</v>
      </c>
      <c r="K6" s="9">
        <f>'[2]Prod ikan TPI (2)'!EH9</f>
        <v>1136.8</v>
      </c>
      <c r="L6" s="10">
        <f>'[2]Prod ikan TPI (2)'!EW9</f>
        <v>6750</v>
      </c>
      <c r="M6" s="10">
        <f>'[2]Prod ikan TPI (2)'!FL9</f>
        <v>5925</v>
      </c>
      <c r="N6" s="10">
        <f>'[2]Prod ikan TPI (2)'!GA9</f>
        <v>1750</v>
      </c>
      <c r="O6" s="13">
        <f t="shared" si="0"/>
        <v>29773.4</v>
      </c>
    </row>
    <row r="7" spans="1:15" s="23" customFormat="1" ht="13.2" customHeight="1" x14ac:dyDescent="0.3">
      <c r="A7" s="36" t="s">
        <v>124</v>
      </c>
      <c r="B7" s="9" t="str">
        <f>'[2]Prod ikan rekap alat TPI'!B11</f>
        <v>Gabus Laut</v>
      </c>
      <c r="C7" s="9">
        <f>'[2]Prod ikan TPI (2)'!Q10</f>
        <v>1237.5</v>
      </c>
      <c r="D7" s="9">
        <f>'[2]Prod ikan TPI (2)'!AF10</f>
        <v>1180</v>
      </c>
      <c r="E7" s="9">
        <f>'[2]Prod ikan TPI (2)'!AU10</f>
        <v>1930.5</v>
      </c>
      <c r="F7" s="9">
        <f>'[2]Prod ikan TPI (2)'!BJ10</f>
        <v>2079</v>
      </c>
      <c r="G7" s="9">
        <f>'[2]Prod ikan TPI (2)'!BY10</f>
        <v>3433.6</v>
      </c>
      <c r="H7" s="9">
        <f>'[2]Prod ikan TPI (2)'!CN10</f>
        <v>1928.2</v>
      </c>
      <c r="I7" s="9">
        <f>'[2]Prod ikan TPI (2)'!DD10</f>
        <v>1687.4</v>
      </c>
      <c r="J7" s="9">
        <f>'[2]Prod ikan TPI (2)'!DS10</f>
        <v>1426.8</v>
      </c>
      <c r="K7" s="9">
        <f>'[2]Prod ikan TPI (2)'!EH10</f>
        <v>1411.2</v>
      </c>
      <c r="L7" s="10">
        <f>'[2]Prod ikan TPI (2)'!EW10</f>
        <v>3145</v>
      </c>
      <c r="M7" s="10">
        <f>'[2]Prod ikan TPI (2)'!FL10</f>
        <v>1250</v>
      </c>
      <c r="N7" s="10">
        <f>'[2]Prod ikan TPI (2)'!GA10</f>
        <v>3500</v>
      </c>
      <c r="O7" s="13">
        <f t="shared" si="0"/>
        <v>24209.200000000001</v>
      </c>
    </row>
    <row r="8" spans="1:15" s="23" customFormat="1" ht="13.2" customHeight="1" x14ac:dyDescent="0.3">
      <c r="A8" s="36" t="s">
        <v>124</v>
      </c>
      <c r="B8" s="9" t="str">
        <f>'[2]Prod ikan rekap alat TPI'!B12</f>
        <v>Gerot Gerot</v>
      </c>
      <c r="C8" s="9">
        <f>'[2]Prod ikan TPI (2)'!Q11</f>
        <v>4603.5</v>
      </c>
      <c r="D8" s="9">
        <f>'[2]Prod ikan TPI (2)'!AF11</f>
        <v>6313</v>
      </c>
      <c r="E8" s="9">
        <f>'[2]Prod ikan TPI (2)'!AU11</f>
        <v>4108.5</v>
      </c>
      <c r="F8" s="9">
        <f>'[2]Prod ikan TPI (2)'!BJ11</f>
        <v>3385.7999999999997</v>
      </c>
      <c r="G8" s="9">
        <f>'[2]Prod ikan TPI (2)'!BY11</f>
        <v>2072</v>
      </c>
      <c r="H8" s="9">
        <f>'[2]Prod ikan TPI (2)'!CN11</f>
        <v>1648.3</v>
      </c>
      <c r="I8" s="9">
        <f>'[2]Prod ikan TPI (2)'!DD11</f>
        <v>1610.7</v>
      </c>
      <c r="J8" s="9">
        <f>'[2]Prod ikan TPI (2)'!DS11</f>
        <v>2262</v>
      </c>
      <c r="K8" s="9">
        <f>'[2]Prod ikan TPI (2)'!EH11</f>
        <v>2979.2</v>
      </c>
      <c r="L8" s="10">
        <f>'[2]Prod ikan TPI (2)'!EW11</f>
        <v>4000</v>
      </c>
      <c r="M8" s="10">
        <f>'[2]Prod ikan TPI (2)'!FL11</f>
        <v>19780</v>
      </c>
      <c r="N8" s="10">
        <f>'[2]Prod ikan TPI (2)'!GA11</f>
        <v>3000</v>
      </c>
      <c r="O8" s="13">
        <f t="shared" si="0"/>
        <v>55763</v>
      </c>
    </row>
    <row r="9" spans="1:15" s="23" customFormat="1" ht="13.2" customHeight="1" x14ac:dyDescent="0.3">
      <c r="A9" s="36" t="s">
        <v>124</v>
      </c>
      <c r="B9" s="9" t="str">
        <f>'[2]Prod ikan rekap alat TPI'!B13</f>
        <v>Golok golok</v>
      </c>
      <c r="C9" s="9">
        <f>'[2]Prod ikan TPI (2)'!Q12</f>
        <v>3217.5</v>
      </c>
      <c r="D9" s="9">
        <f>'[2]Prod ikan TPI (2)'!AF12</f>
        <v>4130</v>
      </c>
      <c r="E9" s="9">
        <f>'[2]Prod ikan TPI (2)'!AU12</f>
        <v>3177.9</v>
      </c>
      <c r="F9" s="9">
        <f>'[2]Prod ikan TPI (2)'!BJ12</f>
        <v>3613.5</v>
      </c>
      <c r="G9" s="9">
        <f>'[2]Prod ikan TPI (2)'!BY12</f>
        <v>1965.4399999999998</v>
      </c>
      <c r="H9" s="9">
        <f>'[2]Prod ikan TPI (2)'!CN12</f>
        <v>2998.04</v>
      </c>
      <c r="I9" s="9">
        <f>'[2]Prod ikan TPI (2)'!DD12</f>
        <v>2147.6</v>
      </c>
      <c r="J9" s="9">
        <f>'[2]Prod ikan TPI (2)'!DS12</f>
        <v>1009.1999999999999</v>
      </c>
      <c r="K9" s="9">
        <f>'[2]Prod ikan TPI (2)'!EH12</f>
        <v>2038.4</v>
      </c>
      <c r="L9" s="10">
        <f>'[2]Prod ikan TPI (2)'!EW12</f>
        <v>6230</v>
      </c>
      <c r="M9" s="10">
        <f>'[2]Prod ikan TPI (2)'!FL12</f>
        <v>7009.9999999999991</v>
      </c>
      <c r="N9" s="10">
        <f>'[2]Prod ikan TPI (2)'!GA12</f>
        <v>1250</v>
      </c>
      <c r="O9" s="13">
        <f t="shared" si="0"/>
        <v>38787.58</v>
      </c>
    </row>
    <row r="10" spans="1:15" s="23" customFormat="1" ht="13.2" customHeight="1" x14ac:dyDescent="0.3">
      <c r="A10" s="36" t="s">
        <v>124</v>
      </c>
      <c r="B10" s="9" t="str">
        <f>'[2]Prod ikan rekap alat TPI'!B14</f>
        <v>Gulamah/Tigawaja/Samgeh</v>
      </c>
      <c r="C10" s="9">
        <f>'[2]Prod ikan TPI (2)'!Q13</f>
        <v>6435</v>
      </c>
      <c r="D10" s="9">
        <f>'[2]Prod ikan TPI (2)'!AF13</f>
        <v>5900</v>
      </c>
      <c r="E10" s="9">
        <f>'[2]Prod ikan TPI (2)'!AU13</f>
        <v>5841</v>
      </c>
      <c r="F10" s="9">
        <f>'[2]Prod ikan TPI (2)'!BJ13</f>
        <v>5791.5</v>
      </c>
      <c r="G10" s="9">
        <f>'[2]Prod ikan TPI (2)'!BY13</f>
        <v>3078.4</v>
      </c>
      <c r="H10" s="9">
        <f>'[2]Prod ikan TPI (2)'!CN13</f>
        <v>3856.4</v>
      </c>
      <c r="I10" s="9">
        <f>'[2]Prod ikan TPI (2)'!DD13</f>
        <v>4141.8</v>
      </c>
      <c r="J10" s="9">
        <f>'[2]Prod ikan TPI (2)'!DS13</f>
        <v>1461.6</v>
      </c>
      <c r="K10" s="9">
        <f>'[2]Prod ikan TPI (2)'!EH13</f>
        <v>2234.4</v>
      </c>
      <c r="L10" s="10">
        <f>'[2]Prod ikan TPI (2)'!EW13</f>
        <v>8450</v>
      </c>
      <c r="M10" s="10">
        <f>'[2]Prod ikan TPI (2)'!FL13</f>
        <v>3600</v>
      </c>
      <c r="N10" s="10">
        <f>'[2]Prod ikan TPI (2)'!GA13</f>
        <v>3500</v>
      </c>
      <c r="O10" s="13">
        <f t="shared" si="0"/>
        <v>54290.100000000006</v>
      </c>
    </row>
    <row r="11" spans="1:15" s="23" customFormat="1" ht="13.2" customHeight="1" x14ac:dyDescent="0.3">
      <c r="A11" s="36" t="s">
        <v>122</v>
      </c>
      <c r="B11" s="9" t="str">
        <f>'[2]Prod ikan rekap alat TPI'!B16</f>
        <v>Kakap</v>
      </c>
      <c r="C11" s="9">
        <f>'[2]Prod ikan TPI (2)'!Q15</f>
        <v>975</v>
      </c>
      <c r="D11" s="9">
        <f>'[2]Prod ikan TPI (2)'!AF15</f>
        <v>544</v>
      </c>
      <c r="E11" s="9">
        <f>'[2]Prod ikan TPI (2)'!AU15</f>
        <v>689.00000000000011</v>
      </c>
      <c r="F11" s="9">
        <f>'[2]Prod ikan TPI (2)'!BJ15</f>
        <v>2171.0000000000005</v>
      </c>
      <c r="G11" s="9">
        <f>'[2]Prod ikan TPI (2)'!BY15</f>
        <v>986</v>
      </c>
      <c r="H11" s="9">
        <f>'[2]Prod ikan TPI (2)'!CN15</f>
        <v>1587</v>
      </c>
      <c r="I11" s="9">
        <f>'[2]Prod ikan TPI (2)'!DD15</f>
        <v>1496.5</v>
      </c>
      <c r="J11" s="9">
        <f>'[2]Prod ikan TPI (2)'!DS15</f>
        <v>1041.5999999999999</v>
      </c>
      <c r="K11" s="9">
        <f>'[2]Prod ikan TPI (2)'!EH15</f>
        <v>1598</v>
      </c>
      <c r="L11" s="10">
        <f>'[2]Prod ikan TPI (2)'!EW15</f>
        <v>7995</v>
      </c>
      <c r="M11" s="10">
        <f>'[2]Prod ikan TPI (2)'!FL15</f>
        <v>7670</v>
      </c>
      <c r="N11" s="10">
        <f>'[2]Prod ikan TPI (2)'!GA15</f>
        <v>1625</v>
      </c>
      <c r="O11" s="13">
        <f t="shared" si="0"/>
        <v>28378.1</v>
      </c>
    </row>
    <row r="12" spans="1:15" s="23" customFormat="1" ht="13.2" customHeight="1" x14ac:dyDescent="0.3">
      <c r="A12" s="36" t="s">
        <v>122</v>
      </c>
      <c r="B12" s="9" t="str">
        <f>'[2]Prod ikan rekap alat TPI'!B17</f>
        <v>Kakap Batu</v>
      </c>
      <c r="C12" s="9">
        <f>'[2]Prod ikan TPI (2)'!Q16</f>
        <v>2340</v>
      </c>
      <c r="D12" s="9">
        <f>'[2]Prod ikan TPI (2)'!AF16</f>
        <v>1156</v>
      </c>
      <c r="E12" s="9">
        <f>'[2]Prod ikan TPI (2)'!AU16</f>
        <v>1170</v>
      </c>
      <c r="F12" s="9">
        <f>'[2]Prod ikan TPI (2)'!BJ16</f>
        <v>1365</v>
      </c>
      <c r="G12" s="9">
        <f>'[2]Prod ikan TPI (2)'!BY16</f>
        <v>215.86</v>
      </c>
      <c r="H12" s="9">
        <f>'[2]Prod ikan TPI (2)'!CN16</f>
        <v>376.5</v>
      </c>
      <c r="I12" s="9">
        <f>'[2]Prod ikan TPI (2)'!DD16</f>
        <v>673.68000000000006</v>
      </c>
      <c r="J12" s="9">
        <f>'[2]Prod ikan TPI (2)'!DS16</f>
        <v>442.5</v>
      </c>
      <c r="K12" s="9">
        <f>'[2]Prod ikan TPI (2)'!EH16</f>
        <v>297.86</v>
      </c>
      <c r="L12" s="10">
        <f>'[2]Prod ikan TPI (2)'!EW16</f>
        <v>1225</v>
      </c>
      <c r="M12" s="10">
        <f>'[2]Prod ikan TPI (2)'!FL16</f>
        <v>2744</v>
      </c>
      <c r="N12" s="10">
        <f>'[2]Prod ikan TPI (2)'!GA16</f>
        <v>735</v>
      </c>
      <c r="O12" s="13">
        <f t="shared" si="0"/>
        <v>12741.4</v>
      </c>
    </row>
    <row r="13" spans="1:15" s="23" customFormat="1" ht="13.2" customHeight="1" x14ac:dyDescent="0.3">
      <c r="A13" s="36" t="s">
        <v>122</v>
      </c>
      <c r="B13" s="9" t="str">
        <f>'[2]Prod ikan rekap alat TPI'!B18</f>
        <v>Kakap Jenaha</v>
      </c>
      <c r="C13" s="9">
        <f>'[2]Prod ikan TPI (2)'!Q17</f>
        <v>1365</v>
      </c>
      <c r="D13" s="9">
        <f>'[2]Prod ikan TPI (2)'!AF17</f>
        <v>924.80000000000007</v>
      </c>
      <c r="E13" s="9">
        <f>'[2]Prod ikan TPI (2)'!AU17</f>
        <v>1144</v>
      </c>
      <c r="F13" s="9">
        <f>'[2]Prod ikan TPI (2)'!BJ17</f>
        <v>1365</v>
      </c>
      <c r="G13" s="9">
        <f>'[2]Prod ikan TPI (2)'!BY17</f>
        <v>1088</v>
      </c>
      <c r="H13" s="9">
        <f>'[2]Prod ikan TPI (2)'!CN17</f>
        <v>621</v>
      </c>
      <c r="I13" s="9">
        <f>'[2]Prod ikan TPI (2)'!DD17</f>
        <v>919.80000000000007</v>
      </c>
      <c r="J13" s="9">
        <f>'[2]Prod ikan TPI (2)'!DS17</f>
        <v>372</v>
      </c>
      <c r="K13" s="9">
        <f>'[2]Prod ikan TPI (2)'!EH17</f>
        <v>705</v>
      </c>
      <c r="L13" s="10">
        <f>'[2]Prod ikan TPI (2)'!EW17</f>
        <v>7670</v>
      </c>
      <c r="M13" s="10">
        <f>'[2]Prod ikan TPI (2)'!FL17</f>
        <v>7189</v>
      </c>
      <c r="N13" s="10">
        <f>'[2]Prod ikan TPI (2)'!GA17</f>
        <v>1235</v>
      </c>
      <c r="O13" s="13">
        <f t="shared" si="0"/>
        <v>24598.6</v>
      </c>
    </row>
    <row r="14" spans="1:15" s="23" customFormat="1" ht="13.2" customHeight="1" x14ac:dyDescent="0.3">
      <c r="A14" s="36" t="s">
        <v>122</v>
      </c>
      <c r="B14" s="9" t="str">
        <f>'[2]Prod ikan rekap alat TPI'!B19</f>
        <v>Kakap Merah</v>
      </c>
      <c r="C14" s="9">
        <f>'[2]Prod ikan TPI (2)'!Q18</f>
        <v>990</v>
      </c>
      <c r="D14" s="9">
        <f>'[2]Prod ikan TPI (2)'!AF18</f>
        <v>1209.5</v>
      </c>
      <c r="E14" s="9">
        <f>'[2]Prod ikan TPI (2)'!AU18</f>
        <v>866.25</v>
      </c>
      <c r="F14" s="9">
        <f>'[2]Prod ikan TPI (2)'!BJ18</f>
        <v>1237.5</v>
      </c>
      <c r="G14" s="9">
        <f>'[2]Prod ikan TPI (2)'!BY18</f>
        <v>1243.2</v>
      </c>
      <c r="H14" s="9">
        <f>'[2]Prod ikan TPI (2)'!CN18</f>
        <v>1679.4</v>
      </c>
      <c r="I14" s="9">
        <f>'[2]Prod ikan TPI (2)'!DD18</f>
        <v>1595.3600000000001</v>
      </c>
      <c r="J14" s="9">
        <f>'[2]Prod ikan TPI (2)'!DS18</f>
        <v>904.8</v>
      </c>
      <c r="K14" s="9">
        <f>'[2]Prod ikan TPI (2)'!EH18</f>
        <v>784</v>
      </c>
      <c r="L14" s="10">
        <f>'[2]Prod ikan TPI (2)'!EW18</f>
        <v>6600</v>
      </c>
      <c r="M14" s="10">
        <f>'[2]Prod ikan TPI (2)'!FL18</f>
        <v>6380</v>
      </c>
      <c r="N14" s="10">
        <f>'[2]Prod ikan TPI (2)'!GA18</f>
        <v>2000</v>
      </c>
      <c r="O14" s="13">
        <f t="shared" si="0"/>
        <v>25490.010000000002</v>
      </c>
    </row>
    <row r="15" spans="1:15" s="23" customFormat="1" ht="13.2" customHeight="1" x14ac:dyDescent="0.3">
      <c r="A15" s="36" t="s">
        <v>123</v>
      </c>
      <c r="B15" s="9" t="str">
        <f>'[2]Prod ikan rekap alat TPI'!B20</f>
        <v>Kapas kapas/Bagas</v>
      </c>
      <c r="C15" s="9">
        <f>'[2]Prod ikan TPI (2)'!Q19</f>
        <v>1728</v>
      </c>
      <c r="D15" s="9">
        <f>'[2]Prod ikan TPI (2)'!AF19</f>
        <v>1455</v>
      </c>
      <c r="E15" s="9">
        <f>'[2]Prod ikan TPI (2)'!AU19</f>
        <v>1368</v>
      </c>
      <c r="F15" s="9">
        <f>'[2]Prod ikan TPI (2)'!BJ19</f>
        <v>2544</v>
      </c>
      <c r="G15" s="9">
        <f>'[2]Prod ikan TPI (2)'!BY19</f>
        <v>1987.92</v>
      </c>
      <c r="H15" s="9">
        <f>'[2]Prod ikan TPI (2)'!CN19</f>
        <v>2208.8000000000002</v>
      </c>
      <c r="I15" s="9">
        <f>'[2]Prod ikan TPI (2)'!DD19</f>
        <v>1992.06</v>
      </c>
      <c r="J15" s="9">
        <f>'[2]Prod ikan TPI (2)'!DS19</f>
        <v>1335.6</v>
      </c>
      <c r="K15" s="9">
        <f>'[2]Prod ikan TPI (2)'!EH19</f>
        <v>3488.8</v>
      </c>
      <c r="L15" s="10">
        <f>'[2]Prod ikan TPI (2)'!EW19</f>
        <v>13130</v>
      </c>
      <c r="M15" s="10">
        <f>'[2]Prod ikan TPI (2)'!FL19</f>
        <v>12055</v>
      </c>
      <c r="N15" s="10">
        <f>'[2]Prod ikan TPI (2)'!GA19</f>
        <v>9250</v>
      </c>
      <c r="O15" s="13">
        <f t="shared" si="0"/>
        <v>52543.18</v>
      </c>
    </row>
    <row r="16" spans="1:15" s="23" customFormat="1" ht="13.2" customHeight="1" x14ac:dyDescent="0.3">
      <c r="A16" s="36" t="s">
        <v>123</v>
      </c>
      <c r="B16" s="9" t="str">
        <f>'[2]Prod ikan rekap alat TPI'!B21</f>
        <v>Kembung Lelaki</v>
      </c>
      <c r="C16" s="9">
        <f>'[2]Prod ikan TPI (2)'!Q20</f>
        <v>5005</v>
      </c>
      <c r="D16" s="9">
        <f>'[2]Prod ikan TPI (2)'!AF20</f>
        <v>10005</v>
      </c>
      <c r="E16" s="9">
        <f>'[2]Prod ikan TPI (2)'!AU20</f>
        <v>8354.5</v>
      </c>
      <c r="F16" s="9">
        <f>'[2]Prod ikan TPI (2)'!BJ20</f>
        <v>11935</v>
      </c>
      <c r="G16" s="9">
        <f>'[2]Prod ikan TPI (2)'!BY20</f>
        <v>4881.24</v>
      </c>
      <c r="H16" s="9">
        <f>'[2]Prod ikan TPI (2)'!CN20</f>
        <v>10441.200000000001</v>
      </c>
      <c r="I16" s="9">
        <f>'[2]Prod ikan TPI (2)'!DD20</f>
        <v>7044.8</v>
      </c>
      <c r="J16" s="9">
        <f>'[2]Prod ikan TPI (2)'!DS20</f>
        <v>1946.6999999999998</v>
      </c>
      <c r="K16" s="9">
        <f>'[2]Prod ikan TPI (2)'!EH20</f>
        <v>3054.4</v>
      </c>
      <c r="L16" s="10">
        <f>'[2]Prod ikan TPI (2)'!EW20</f>
        <v>20504</v>
      </c>
      <c r="M16" s="10">
        <f>'[2]Prod ikan TPI (2)'!FL20</f>
        <v>20040</v>
      </c>
      <c r="N16" s="10">
        <f>'[2]Prod ikan TPI (2)'!GA20</f>
        <v>19600</v>
      </c>
      <c r="O16" s="13">
        <f t="shared" si="0"/>
        <v>122811.84</v>
      </c>
    </row>
    <row r="17" spans="1:17" s="23" customFormat="1" ht="13.2" customHeight="1" x14ac:dyDescent="0.3">
      <c r="A17" s="36" t="s">
        <v>123</v>
      </c>
      <c r="B17" s="9" t="str">
        <f>'[2]Prod ikan rekap alat TPI'!B22</f>
        <v>Kembung Perempuan</v>
      </c>
      <c r="C17" s="9">
        <f>'[2]Prod ikan TPI (2)'!Q21</f>
        <v>2695</v>
      </c>
      <c r="D17" s="9">
        <f>'[2]Prod ikan TPI (2)'!AF21</f>
        <v>5220</v>
      </c>
      <c r="E17" s="9">
        <f>'[2]Prod ikan TPI (2)'!AU21</f>
        <v>7161</v>
      </c>
      <c r="F17" s="9">
        <f>'[2]Prod ikan TPI (2)'!BJ21</f>
        <v>10780</v>
      </c>
      <c r="G17" s="9">
        <f>'[2]Prod ikan TPI (2)'!BY21</f>
        <v>9118.7999999999993</v>
      </c>
      <c r="H17" s="9">
        <f>'[2]Prod ikan TPI (2)'!CN21</f>
        <v>3834.6</v>
      </c>
      <c r="I17" s="9">
        <f>'[2]Prod ikan TPI (2)'!DD21</f>
        <v>4084.8</v>
      </c>
      <c r="J17" s="9">
        <f>'[2]Prod ikan TPI (2)'!DS21</f>
        <v>1637.6999999999998</v>
      </c>
      <c r="K17" s="9">
        <f>'[2]Prod ikan TPI (2)'!EH21</f>
        <v>9823.8800000000028</v>
      </c>
      <c r="L17" s="10">
        <f>'[2]Prod ikan TPI (2)'!EW21</f>
        <v>9300</v>
      </c>
      <c r="M17" s="10">
        <f>'[2]Prod ikan TPI (2)'!FL21</f>
        <v>13300</v>
      </c>
      <c r="N17" s="10">
        <f>'[2]Prod ikan TPI (2)'!GA21</f>
        <v>7000</v>
      </c>
      <c r="O17" s="13">
        <f t="shared" si="0"/>
        <v>83955.78</v>
      </c>
    </row>
    <row r="18" spans="1:17" s="23" customFormat="1" ht="13.2" customHeight="1" x14ac:dyDescent="0.3">
      <c r="A18" s="36" t="s">
        <v>122</v>
      </c>
      <c r="B18" s="9" t="str">
        <f>'[2]Prod ikan rekap alat TPI'!B23</f>
        <v>Kerapu</v>
      </c>
      <c r="C18" s="9">
        <f>'[2]Prod ikan TPI (2)'!Q22</f>
        <v>3217.5</v>
      </c>
      <c r="D18" s="9">
        <f>'[2]Prod ikan TPI (2)'!AF22</f>
        <v>1711</v>
      </c>
      <c r="E18" s="9">
        <f>'[2]Prod ikan TPI (2)'!AU22</f>
        <v>1608.75</v>
      </c>
      <c r="F18" s="9">
        <f>'[2]Prod ikan TPI (2)'!BJ22</f>
        <v>940.5</v>
      </c>
      <c r="G18" s="9">
        <f>'[2]Prod ikan TPI (2)'!BY22</f>
        <v>1420.8</v>
      </c>
      <c r="H18" s="9">
        <f>'[2]Prod ikan TPI (2)'!CN22</f>
        <v>1555</v>
      </c>
      <c r="I18" s="9">
        <f>'[2]Prod ikan TPI (2)'!DD22</f>
        <v>1534</v>
      </c>
      <c r="J18" s="9">
        <f>'[2]Prod ikan TPI (2)'!DS22</f>
        <v>556.79999999999995</v>
      </c>
      <c r="K18" s="9">
        <f>'[2]Prod ikan TPI (2)'!EH22</f>
        <v>940.8</v>
      </c>
      <c r="L18" s="10">
        <f>'[2]Prod ikan TPI (2)'!EW22</f>
        <v>6540</v>
      </c>
      <c r="M18" s="10">
        <f>'[2]Prod ikan TPI (2)'!FL22</f>
        <v>2500</v>
      </c>
      <c r="N18" s="10">
        <f>'[2]Prod ikan TPI (2)'!GA22</f>
        <v>2000</v>
      </c>
      <c r="O18" s="13">
        <f t="shared" si="0"/>
        <v>24525.149999999998</v>
      </c>
    </row>
    <row r="19" spans="1:17" s="23" customFormat="1" ht="13.2" customHeight="1" x14ac:dyDescent="0.3">
      <c r="A19" s="36" t="s">
        <v>124</v>
      </c>
      <c r="B19" s="9" t="str">
        <f>'[2]Prod ikan rekap alat TPI'!B24</f>
        <v>Kuniran/biji nangka</v>
      </c>
      <c r="C19" s="9">
        <f>'[2]Prod ikan TPI (2)'!Q23</f>
        <v>3663</v>
      </c>
      <c r="D19" s="9">
        <f>'[2]Prod ikan TPI (2)'!AF23</f>
        <v>2537</v>
      </c>
      <c r="E19" s="9">
        <f>'[2]Prod ikan TPI (2)'!AU23</f>
        <v>3465</v>
      </c>
      <c r="F19" s="9">
        <f>'[2]Prod ikan TPI (2)'!BJ23</f>
        <v>2524.5</v>
      </c>
      <c r="G19" s="9">
        <f>'[2]Prod ikan TPI (2)'!BY23</f>
        <v>2652.16</v>
      </c>
      <c r="H19" s="9">
        <f>'[2]Prod ikan TPI (2)'!CN23</f>
        <v>1679.4</v>
      </c>
      <c r="I19" s="9">
        <f>'[2]Prod ikan TPI (2)'!DD23</f>
        <v>1748.7599999999998</v>
      </c>
      <c r="J19" s="9">
        <f>'[2]Prod ikan TPI (2)'!DS23</f>
        <v>1461.6</v>
      </c>
      <c r="K19" s="9">
        <f>'[2]Prod ikan TPI (2)'!EH23</f>
        <v>1332.8</v>
      </c>
      <c r="L19" s="10">
        <f>'[2]Prod ikan TPI (2)'!EW23</f>
        <v>3500</v>
      </c>
      <c r="M19" s="10">
        <f>'[2]Prod ikan TPI (2)'!FL23</f>
        <v>7445</v>
      </c>
      <c r="N19" s="10">
        <f>'[2]Prod ikan TPI (2)'!GA23</f>
        <v>1250</v>
      </c>
      <c r="O19" s="13">
        <f t="shared" si="0"/>
        <v>33259.22</v>
      </c>
    </row>
    <row r="20" spans="1:17" s="23" customFormat="1" ht="13.2" customHeight="1" x14ac:dyDescent="0.3">
      <c r="A20" s="36" t="s">
        <v>124</v>
      </c>
      <c r="B20" s="9" t="str">
        <f>'[2]Prod ikan rekap alat TPI'!B25</f>
        <v>Kurisi</v>
      </c>
      <c r="C20" s="9">
        <f>'[2]Prod ikan TPI (2)'!Q24</f>
        <v>2821.5</v>
      </c>
      <c r="D20" s="9">
        <f>'[2]Prod ikan TPI (2)'!AF24</f>
        <v>2478</v>
      </c>
      <c r="E20" s="9">
        <f>'[2]Prod ikan TPI (2)'!AU24</f>
        <v>2524.5</v>
      </c>
      <c r="F20" s="9">
        <f>'[2]Prod ikan TPI (2)'!BJ24</f>
        <v>1861.2</v>
      </c>
      <c r="G20" s="9">
        <f>'[2]Prod ikan TPI (2)'!BY24</f>
        <v>2794.24</v>
      </c>
      <c r="H20" s="9">
        <f>'[2]Prod ikan TPI (2)'!CN24</f>
        <v>2152.12</v>
      </c>
      <c r="I20" s="9">
        <f>'[2]Prod ikan TPI (2)'!DD24</f>
        <v>3359.46</v>
      </c>
      <c r="J20" s="9">
        <f>'[2]Prod ikan TPI (2)'!DS24</f>
        <v>904.8</v>
      </c>
      <c r="K20" s="9">
        <f>'[2]Prod ikan TPI (2)'!EH24</f>
        <v>1215.2</v>
      </c>
      <c r="L20" s="10">
        <f>'[2]Prod ikan TPI (2)'!EW24</f>
        <v>6300</v>
      </c>
      <c r="M20" s="10">
        <f>'[2]Prod ikan TPI (2)'!FL24</f>
        <v>6400</v>
      </c>
      <c r="N20" s="10">
        <f>'[2]Prod ikan TPI (2)'!GA24</f>
        <v>1500</v>
      </c>
      <c r="O20" s="13">
        <f t="shared" si="0"/>
        <v>34311.020000000004</v>
      </c>
    </row>
    <row r="21" spans="1:17" s="23" customFormat="1" ht="13.2" customHeight="1" x14ac:dyDescent="0.3">
      <c r="A21" s="36" t="s">
        <v>123</v>
      </c>
      <c r="B21" s="9" t="str">
        <f>'[2]Prod ikan rekap alat TPI'!B26</f>
        <v>Kuro/Senangin/laosan</v>
      </c>
      <c r="C21" s="9">
        <f>'[2]Prod ikan TPI (2)'!Q25</f>
        <v>8910</v>
      </c>
      <c r="D21" s="9">
        <f>'[2]Prod ikan TPI (2)'!AF25</f>
        <v>7729</v>
      </c>
      <c r="E21" s="9">
        <f>'[2]Prod ikan TPI (2)'!AU25</f>
        <v>4405.5</v>
      </c>
      <c r="F21" s="9">
        <f>'[2]Prod ikan TPI (2)'!BJ25</f>
        <v>3069</v>
      </c>
      <c r="G21" s="9">
        <f>'[2]Prod ikan TPI (2)'!BY25</f>
        <v>4676.8</v>
      </c>
      <c r="H21" s="9">
        <f>'[2]Prod ikan TPI (2)'!CN25</f>
        <v>6282.2</v>
      </c>
      <c r="I21" s="9">
        <f>'[2]Prod ikan TPI (2)'!DD25</f>
        <v>4908.8</v>
      </c>
      <c r="J21" s="9">
        <f>'[2]Prod ikan TPI (2)'!DS25</f>
        <v>2749.2</v>
      </c>
      <c r="K21" s="9">
        <f>'[2]Prod ikan TPI (2)'!EH25</f>
        <v>2077.6</v>
      </c>
      <c r="L21" s="10">
        <f>'[2]Prod ikan TPI (2)'!EW25</f>
        <v>3400</v>
      </c>
      <c r="M21" s="10">
        <f>'[2]Prod ikan TPI (2)'!FL25</f>
        <v>24745</v>
      </c>
      <c r="N21" s="10">
        <f>'[2]Prod ikan TPI (2)'!GA25</f>
        <v>3500</v>
      </c>
      <c r="O21" s="13">
        <f t="shared" si="0"/>
        <v>76453.100000000006</v>
      </c>
    </row>
    <row r="22" spans="1:17" s="23" customFormat="1" ht="13.2" customHeight="1" x14ac:dyDescent="0.3">
      <c r="A22" s="36" t="s">
        <v>122</v>
      </c>
      <c r="B22" s="9" t="str">
        <f>'[2]Prod ikan rekap alat TPI'!B27</f>
        <v>kuwe</v>
      </c>
      <c r="C22" s="9">
        <f>'[2]Prod ikan TPI (2)'!Q26</f>
        <v>3388</v>
      </c>
      <c r="D22" s="9">
        <f>'[2]Prod ikan TPI (2)'!AF26</f>
        <v>3175.5</v>
      </c>
      <c r="E22" s="9">
        <f>'[2]Prod ikan TPI (2)'!AU26</f>
        <v>5043.5</v>
      </c>
      <c r="F22" s="9">
        <f>'[2]Prod ikan TPI (2)'!BJ26</f>
        <v>4504.5</v>
      </c>
      <c r="G22" s="9">
        <f>'[2]Prod ikan TPI (2)'!BY26</f>
        <v>3263.1</v>
      </c>
      <c r="H22" s="9">
        <f>'[2]Prod ikan TPI (2)'!CN26</f>
        <v>1617</v>
      </c>
      <c r="I22" s="9">
        <f>'[2]Prod ikan TPI (2)'!DD26</f>
        <v>1716.8</v>
      </c>
      <c r="J22" s="9">
        <f>'[2]Prod ikan TPI (2)'!DS26</f>
        <v>957.90000000000009</v>
      </c>
      <c r="K22" s="9">
        <f>'[2]Prod ikan TPI (2)'!EH26</f>
        <v>710.48000000000013</v>
      </c>
      <c r="L22" s="10">
        <f>'[2]Prod ikan TPI (2)'!EW26</f>
        <v>7068.0000000000009</v>
      </c>
      <c r="M22" s="10">
        <f>'[2]Prod ikan TPI (2)'!FL26</f>
        <v>2716</v>
      </c>
      <c r="N22" s="10">
        <f>'[2]Prod ikan TPI (2)'!GA26</f>
        <v>3000</v>
      </c>
      <c r="O22" s="13">
        <f t="shared" si="0"/>
        <v>37160.78</v>
      </c>
    </row>
    <row r="23" spans="1:17" s="23" customFormat="1" ht="13.2" customHeight="1" x14ac:dyDescent="0.3">
      <c r="A23" s="36" t="s">
        <v>122</v>
      </c>
      <c r="B23" s="9" t="str">
        <f>'[2]Prod ikan rekap alat TPI'!B28</f>
        <v>kuwe gerong</v>
      </c>
      <c r="C23" s="9">
        <f>'[2]Prod ikan TPI (2)'!Q27</f>
        <v>1232</v>
      </c>
      <c r="D23" s="9">
        <f>'[2]Prod ikan TPI (2)'!AF27</f>
        <v>957</v>
      </c>
      <c r="E23" s="9">
        <f>'[2]Prod ikan TPI (2)'!AU27</f>
        <v>1655.5</v>
      </c>
      <c r="F23" s="9">
        <f>'[2]Prod ikan TPI (2)'!BJ27</f>
        <v>847</v>
      </c>
      <c r="G23" s="9">
        <f>'[2]Prod ikan TPI (2)'!BY27</f>
        <v>1832.7</v>
      </c>
      <c r="H23" s="9">
        <f>'[2]Prod ikan TPI (2)'!CN27</f>
        <v>1663.2</v>
      </c>
      <c r="I23" s="9">
        <f>'[2]Prod ikan TPI (2)'!DD27</f>
        <v>1704.96</v>
      </c>
      <c r="J23" s="9">
        <f>'[2]Prod ikan TPI (2)'!DS27</f>
        <v>1143.3</v>
      </c>
      <c r="K23" s="9">
        <f>'[2]Prod ikan TPI (2)'!EH27</f>
        <v>2778.8399999999997</v>
      </c>
      <c r="L23" s="10">
        <f>'[2]Prod ikan TPI (2)'!EW27</f>
        <v>5312</v>
      </c>
      <c r="M23" s="10">
        <f>'[2]Prod ikan TPI (2)'!FL27</f>
        <v>5164</v>
      </c>
      <c r="N23" s="10">
        <f>'[2]Prod ikan TPI (2)'!GA27</f>
        <v>1312.0000000000002</v>
      </c>
      <c r="O23" s="13">
        <f t="shared" si="0"/>
        <v>25602.5</v>
      </c>
    </row>
    <row r="24" spans="1:17" s="23" customFormat="1" ht="13.2" customHeight="1" x14ac:dyDescent="0.3">
      <c r="A24" s="36" t="s">
        <v>123</v>
      </c>
      <c r="B24" s="9" t="str">
        <f>'[2]Prod ikan rekap alat TPI'!B29</f>
        <v>Layang</v>
      </c>
      <c r="C24" s="9">
        <f>'[2]Prod ikan TPI (2)'!Q28</f>
        <v>21591.5</v>
      </c>
      <c r="D24" s="9">
        <f>'[2]Prod ikan TPI (2)'!AF28</f>
        <v>18560</v>
      </c>
      <c r="E24" s="9">
        <f>'[2]Prod ikan TPI (2)'!AU28</f>
        <v>32035.400000000005</v>
      </c>
      <c r="F24" s="9">
        <f>'[2]Prod ikan TPI (2)'!BJ28</f>
        <v>23498</v>
      </c>
      <c r="G24" s="9">
        <f>'[2]Prod ikan TPI (2)'!BY28</f>
        <v>14988.4</v>
      </c>
      <c r="H24" s="9">
        <f>'[2]Prod ikan TPI (2)'!CN28</f>
        <v>14564.2</v>
      </c>
      <c r="I24" s="9">
        <f>'[2]Prod ikan TPI (2)'!DD28</f>
        <v>11940.2</v>
      </c>
      <c r="J24" s="9">
        <f>'[2]Prod ikan TPI (2)'!DS28</f>
        <v>12757.5</v>
      </c>
      <c r="K24" s="9">
        <f>'[2]Prod ikan TPI (2)'!EH28</f>
        <v>21878.400000000001</v>
      </c>
      <c r="L24" s="10">
        <f>'[2]Prod ikan TPI (2)'!EW28</f>
        <v>31970</v>
      </c>
      <c r="M24" s="10">
        <f>'[2]Prod ikan TPI (2)'!FL28</f>
        <v>22884.000000000004</v>
      </c>
      <c r="N24" s="10">
        <f>'[2]Prod ikan TPI (2)'!GA28</f>
        <v>29010</v>
      </c>
      <c r="O24" s="13">
        <f t="shared" si="0"/>
        <v>255677.6</v>
      </c>
    </row>
    <row r="25" spans="1:17" s="23" customFormat="1" ht="13.2" customHeight="1" x14ac:dyDescent="0.3">
      <c r="A25" s="36" t="s">
        <v>121</v>
      </c>
      <c r="B25" s="9" t="str">
        <f>'[2]Prod ikan rekap alat TPI'!B30</f>
        <v>layaran</v>
      </c>
      <c r="C25" s="9">
        <f>'[2]Prod ikan TPI (2)'!Q29</f>
        <v>660</v>
      </c>
      <c r="D25" s="9">
        <f>'[2]Prod ikan TPI (2)'!AF29</f>
        <v>1104.5</v>
      </c>
      <c r="E25" s="9">
        <f>'[2]Prod ikan TPI (2)'!AU29</f>
        <v>1276</v>
      </c>
      <c r="F25" s="9">
        <f>'[2]Prod ikan TPI (2)'!BJ29</f>
        <v>1760</v>
      </c>
      <c r="G25" s="9">
        <f>'[2]Prod ikan TPI (2)'!BY29</f>
        <v>1108.5999999999999</v>
      </c>
      <c r="H25" s="9">
        <f>'[2]Prod ikan TPI (2)'!CN29</f>
        <v>1132.7</v>
      </c>
      <c r="I25" s="9">
        <f>'[2]Prod ikan TPI (2)'!DD29</f>
        <v>2328.1200000000003</v>
      </c>
      <c r="J25" s="9">
        <f>'[2]Prod ikan TPI (2)'!DS29</f>
        <v>1888</v>
      </c>
      <c r="K25" s="9">
        <f>'[2]Prod ikan TPI (2)'!EH29</f>
        <v>2357.6999999999998</v>
      </c>
      <c r="L25" s="10">
        <f>'[2]Prod ikan TPI (2)'!EW29</f>
        <v>1081</v>
      </c>
      <c r="M25" s="10">
        <f>'[2]Prod ikan TPI (2)'!FL29</f>
        <v>893</v>
      </c>
      <c r="N25" s="10">
        <f>'[2]Prod ikan TPI (2)'!GA29</f>
        <v>1774.25</v>
      </c>
      <c r="O25" s="13">
        <f t="shared" si="0"/>
        <v>17363.87</v>
      </c>
    </row>
    <row r="26" spans="1:17" s="25" customFormat="1" ht="13.2" customHeight="1" x14ac:dyDescent="0.3">
      <c r="A26" s="36" t="s">
        <v>123</v>
      </c>
      <c r="B26" s="9" t="str">
        <f>'[2]Prod ikan rekap alat TPI'!B31</f>
        <v>Layur</v>
      </c>
      <c r="C26" s="9">
        <f>'[2]Prod ikan TPI (2)'!Q30</f>
        <v>15840</v>
      </c>
      <c r="D26" s="9">
        <f>'[2]Prod ikan TPI (2)'!AF30</f>
        <v>14927</v>
      </c>
      <c r="E26" s="9">
        <f>'[2]Prod ikan TPI (2)'!AU30</f>
        <v>15444</v>
      </c>
      <c r="F26" s="9">
        <f>'[2]Prod ikan TPI (2)'!BJ30</f>
        <v>12028.5</v>
      </c>
      <c r="G26" s="9">
        <f>'[2]Prod ikan TPI (2)'!BY30</f>
        <v>7696</v>
      </c>
      <c r="H26" s="9">
        <f>'[2]Prod ikan TPI (2)'!CN30</f>
        <v>12626.6</v>
      </c>
      <c r="I26" s="9">
        <f>'[2]Prod ikan TPI (2)'!DD30</f>
        <v>10968.1</v>
      </c>
      <c r="J26" s="9">
        <f>'[2]Prod ikan TPI (2)'!DS30</f>
        <v>11414.4</v>
      </c>
      <c r="K26" s="9">
        <f>'[2]Prod ikan TPI (2)'!EH30</f>
        <v>16072</v>
      </c>
      <c r="L26" s="10">
        <f>'[2]Prod ikan TPI (2)'!EW30</f>
        <v>20430</v>
      </c>
      <c r="M26" s="10">
        <f>'[2]Prod ikan TPI (2)'!FL30</f>
        <v>17765</v>
      </c>
      <c r="N26" s="10">
        <f>'[2]Prod ikan TPI (2)'!GA30</f>
        <v>16015</v>
      </c>
      <c r="O26" s="13">
        <f t="shared" si="0"/>
        <v>171226.6</v>
      </c>
      <c r="P26" s="23"/>
      <c r="Q26" s="24"/>
    </row>
    <row r="27" spans="1:17" s="23" customFormat="1" ht="13.2" customHeight="1" x14ac:dyDescent="0.3">
      <c r="A27" s="36" t="s">
        <v>121</v>
      </c>
      <c r="B27" s="9" t="str">
        <f>'[2]Prod ikan rekap alat TPI'!B32</f>
        <v>Lemadang</v>
      </c>
      <c r="C27" s="9">
        <f>'[2]Prod ikan TPI (2)'!Q31</f>
        <v>30288</v>
      </c>
      <c r="D27" s="9">
        <f>'[2]Prod ikan TPI (2)'!AF31</f>
        <v>20500</v>
      </c>
      <c r="E27" s="9">
        <f>'[2]Prod ikan TPI (2)'!AU31</f>
        <v>34080</v>
      </c>
      <c r="F27" s="9">
        <f>'[2]Prod ikan TPI (2)'!BJ31</f>
        <v>38640</v>
      </c>
      <c r="G27" s="9">
        <f>'[2]Prod ikan TPI (2)'!BY31</f>
        <v>18491.2</v>
      </c>
      <c r="H27" s="9">
        <f>'[2]Prod ikan TPI (2)'!CN31</f>
        <v>25603.200000000001</v>
      </c>
      <c r="I27" s="9">
        <f>'[2]Prod ikan TPI (2)'!DD31</f>
        <v>23347.200000000001</v>
      </c>
      <c r="J27" s="9">
        <f>'[2]Prod ikan TPI (2)'!DS31</f>
        <v>9744</v>
      </c>
      <c r="K27" s="9">
        <f>'[2]Prod ikan TPI (2)'!EH31</f>
        <v>47336.800000000003</v>
      </c>
      <c r="L27" s="10">
        <f>'[2]Prod ikan TPI (2)'!EW31</f>
        <v>41800</v>
      </c>
      <c r="M27" s="10">
        <f>'[2]Prod ikan TPI (2)'!FL31</f>
        <v>20600</v>
      </c>
      <c r="N27" s="10">
        <f>'[2]Prod ikan TPI (2)'!GA31</f>
        <v>42125</v>
      </c>
      <c r="O27" s="13">
        <f t="shared" si="0"/>
        <v>352555.4</v>
      </c>
    </row>
    <row r="28" spans="1:17" s="23" customFormat="1" ht="13.2" customHeight="1" x14ac:dyDescent="0.3">
      <c r="A28" s="36" t="s">
        <v>123</v>
      </c>
      <c r="B28" s="9" t="str">
        <f>'[2]Prod ikan rekap alat TPI'!B33</f>
        <v>Lencam</v>
      </c>
      <c r="C28" s="9">
        <f>'[2]Prod ikan TPI (2)'!Q32</f>
        <v>1138.5</v>
      </c>
      <c r="D28" s="9">
        <f>'[2]Prod ikan TPI (2)'!AF32</f>
        <v>885</v>
      </c>
      <c r="E28" s="9">
        <f>'[2]Prod ikan TPI (2)'!AU32</f>
        <v>915.75</v>
      </c>
      <c r="F28" s="9">
        <f>'[2]Prod ikan TPI (2)'!BJ32</f>
        <v>1732.5</v>
      </c>
      <c r="G28" s="9">
        <f>'[2]Prod ikan TPI (2)'!BY32</f>
        <v>651.20000000000005</v>
      </c>
      <c r="H28" s="9">
        <f>'[2]Prod ikan TPI (2)'!CN32</f>
        <v>1306.2</v>
      </c>
      <c r="I28" s="9">
        <f>'[2]Prod ikan TPI (2)'!DD32</f>
        <v>460.2</v>
      </c>
      <c r="J28" s="9">
        <f>'[2]Prod ikan TPI (2)'!DS32</f>
        <v>591.59999999999991</v>
      </c>
      <c r="K28" s="9">
        <f>'[2]Prod ikan TPI (2)'!EH32</f>
        <v>337.12</v>
      </c>
      <c r="L28" s="10">
        <f>'[2]Prod ikan TPI (2)'!EW32</f>
        <v>5534.9999999999991</v>
      </c>
      <c r="M28" s="10">
        <f>'[2]Prod ikan TPI (2)'!FL32</f>
        <v>969.99999999999989</v>
      </c>
      <c r="N28" s="10">
        <f>'[2]Prod ikan TPI (2)'!GA32</f>
        <v>1164.9999999999998</v>
      </c>
      <c r="O28" s="13">
        <f t="shared" si="0"/>
        <v>15688.069999999998</v>
      </c>
    </row>
    <row r="29" spans="1:17" s="23" customFormat="1" ht="13.2" customHeight="1" x14ac:dyDescent="0.3">
      <c r="A29" s="36" t="s">
        <v>124</v>
      </c>
      <c r="B29" s="9" t="str">
        <f>'[2]Prod ikan rekap alat TPI'!B37</f>
        <v>Manyung</v>
      </c>
      <c r="C29" s="9">
        <f>'[2]Prod ikan TPI (2)'!Q36</f>
        <v>3780</v>
      </c>
      <c r="D29" s="9">
        <f>'[2]Prod ikan TPI (2)'!AF36</f>
        <v>2660</v>
      </c>
      <c r="E29" s="9">
        <f>'[2]Prod ikan TPI (2)'!AU36</f>
        <v>2415</v>
      </c>
      <c r="F29" s="9">
        <f>'[2]Prod ikan TPI (2)'!BJ36</f>
        <v>3710</v>
      </c>
      <c r="G29" s="9">
        <f>'[2]Prod ikan TPI (2)'!BY36</f>
        <v>2240</v>
      </c>
      <c r="H29" s="9">
        <f>'[2]Prod ikan TPI (2)'!CN36</f>
        <v>2590</v>
      </c>
      <c r="I29" s="9">
        <f>'[2]Prod ikan TPI (2)'!DD36</f>
        <v>3150</v>
      </c>
      <c r="J29" s="9">
        <f>'[2]Prod ikan TPI (2)'!DS36</f>
        <v>1406</v>
      </c>
      <c r="K29" s="9">
        <f>'[2]Prod ikan TPI (2)'!EH36</f>
        <v>2100</v>
      </c>
      <c r="L29" s="10">
        <f>'[2]Prod ikan TPI (2)'!EW36</f>
        <v>2009</v>
      </c>
      <c r="M29" s="10">
        <f>'[2]Prod ikan TPI (2)'!FL36</f>
        <v>1330</v>
      </c>
      <c r="N29" s="10">
        <f>'[2]Prod ikan TPI (2)'!GA36</f>
        <v>2184</v>
      </c>
      <c r="O29" s="13">
        <f t="shared" si="0"/>
        <v>29574</v>
      </c>
    </row>
    <row r="30" spans="1:17" s="23" customFormat="1" ht="13.2" customHeight="1" x14ac:dyDescent="0.3">
      <c r="A30" s="36" t="s">
        <v>124</v>
      </c>
      <c r="B30" s="9" t="str">
        <f>'[2]Prod ikan rekap alat TPI'!B38</f>
        <v>Marlin</v>
      </c>
      <c r="C30" s="9">
        <f>'[2]Prod ikan TPI (2)'!Q37</f>
        <v>2400</v>
      </c>
      <c r="D30" s="9">
        <f>'[2]Prod ikan TPI (2)'!AF37</f>
        <v>2120</v>
      </c>
      <c r="E30" s="9">
        <f>'[2]Prod ikan TPI (2)'!AU37</f>
        <v>1800</v>
      </c>
      <c r="F30" s="9">
        <f>'[2]Prod ikan TPI (2)'!BJ37</f>
        <v>2715</v>
      </c>
      <c r="G30" s="9">
        <f>'[2]Prod ikan TPI (2)'!BY37</f>
        <v>2288</v>
      </c>
      <c r="H30" s="9">
        <f>'[2]Prod ikan TPI (2)'!CN37</f>
        <v>2354</v>
      </c>
      <c r="I30" s="9">
        <f>'[2]Prod ikan TPI (2)'!DD37</f>
        <v>3854</v>
      </c>
      <c r="J30" s="9">
        <f>'[2]Prod ikan TPI (2)'!DS37</f>
        <v>3180</v>
      </c>
      <c r="K30" s="9">
        <f>'[2]Prod ikan TPI (2)'!EH37</f>
        <v>3840</v>
      </c>
      <c r="L30" s="10">
        <f>'[2]Prod ikan TPI (2)'!EW37</f>
        <v>2040</v>
      </c>
      <c r="M30" s="10">
        <f>'[2]Prod ikan TPI (2)'!FL37</f>
        <v>1310</v>
      </c>
      <c r="N30" s="10">
        <f>'[2]Prod ikan TPI (2)'!GA37</f>
        <v>2640</v>
      </c>
      <c r="O30" s="13">
        <f t="shared" si="0"/>
        <v>30541</v>
      </c>
    </row>
    <row r="31" spans="1:17" s="23" customFormat="1" ht="13.2" customHeight="1" x14ac:dyDescent="0.3">
      <c r="A31" s="36" t="s">
        <v>121</v>
      </c>
      <c r="B31" s="9" t="str">
        <f>'[2]Prod ikan rekap alat TPI'!B39</f>
        <v>Nyunglas</v>
      </c>
      <c r="C31" s="9">
        <f>'[2]Prod ikan TPI (2)'!Q38</f>
        <v>134</v>
      </c>
      <c r="D31" s="9">
        <f>'[2]Prod ikan TPI (2)'!AF38</f>
        <v>420</v>
      </c>
      <c r="E31" s="9">
        <f>'[2]Prod ikan TPI (2)'!AU38</f>
        <v>268</v>
      </c>
      <c r="F31" s="9">
        <f>'[2]Prod ikan TPI (2)'!BJ38</f>
        <v>452.25</v>
      </c>
      <c r="G31" s="9">
        <f>'[2]Prod ikan TPI (2)'!BY38</f>
        <v>489.90000000000003</v>
      </c>
      <c r="H31" s="9">
        <f>'[2]Prod ikan TPI (2)'!CN38</f>
        <v>234.3</v>
      </c>
      <c r="I31" s="9">
        <f>'[2]Prod ikan TPI (2)'!DD38</f>
        <v>368.71999999999997</v>
      </c>
      <c r="J31" s="9">
        <f>'[2]Prod ikan TPI (2)'!DS38</f>
        <v>775.85</v>
      </c>
      <c r="K31" s="9">
        <f>'[2]Prod ikan TPI (2)'!EH38</f>
        <v>722.80000000000007</v>
      </c>
      <c r="L31" s="10">
        <f>'[2]Prod ikan TPI (2)'!EW38</f>
        <v>352</v>
      </c>
      <c r="M31" s="10">
        <f>'[2]Prod ikan TPI (2)'!FL38</f>
        <v>2514.0000000000005</v>
      </c>
      <c r="N31" s="10">
        <f>'[2]Prod ikan TPI (2)'!GA38</f>
        <v>396.00000000000006</v>
      </c>
      <c r="O31" s="13">
        <f t="shared" si="0"/>
        <v>7127.82</v>
      </c>
    </row>
    <row r="32" spans="1:17" s="23" customFormat="1" ht="13.2" customHeight="1" x14ac:dyDescent="0.3">
      <c r="A32" s="36" t="s">
        <v>123</v>
      </c>
      <c r="B32" s="9" t="str">
        <f>'[2]Prod ikan rekap alat TPI'!B40</f>
        <v>Pari</v>
      </c>
      <c r="C32" s="9">
        <f>'[2]Prod ikan TPI (2)'!Q39</f>
        <v>2668.7999999999997</v>
      </c>
      <c r="D32" s="9">
        <f>'[2]Prod ikan TPI (2)'!AF39</f>
        <v>3090</v>
      </c>
      <c r="E32" s="9">
        <f>'[2]Prod ikan TPI (2)'!AU39</f>
        <v>3456</v>
      </c>
      <c r="F32" s="9">
        <f>'[2]Prod ikan TPI (2)'!BJ39</f>
        <v>2640</v>
      </c>
      <c r="G32" s="9">
        <f>'[2]Prod ikan TPI (2)'!BY39</f>
        <v>1574.8</v>
      </c>
      <c r="H32" s="9">
        <f>'[2]Prod ikan TPI (2)'!CN39</f>
        <v>2321.56</v>
      </c>
      <c r="I32" s="9">
        <f>'[2]Prod ikan TPI (2)'!DD39</f>
        <v>2164.48</v>
      </c>
      <c r="J32" s="9">
        <f>'[2]Prod ikan TPI (2)'!DS39</f>
        <v>417.59999999999997</v>
      </c>
      <c r="K32" s="9">
        <f>'[2]Prod ikan TPI (2)'!EH39</f>
        <v>1433.8</v>
      </c>
      <c r="L32" s="10">
        <f>'[2]Prod ikan TPI (2)'!EW39</f>
        <v>1250</v>
      </c>
      <c r="M32" s="10">
        <f>'[2]Prod ikan TPI (2)'!FL39</f>
        <v>2950</v>
      </c>
      <c r="N32" s="10">
        <f>'[2]Prod ikan TPI (2)'!GA39</f>
        <v>1600</v>
      </c>
      <c r="O32" s="13">
        <f t="shared" si="0"/>
        <v>25567.039999999997</v>
      </c>
    </row>
    <row r="33" spans="1:15" s="23" customFormat="1" ht="13.2" customHeight="1" x14ac:dyDescent="0.3">
      <c r="A33" s="36" t="s">
        <v>124</v>
      </c>
      <c r="B33" s="9" t="str">
        <f>'[2]Prod ikan rekap alat TPI'!B41</f>
        <v>Pedang</v>
      </c>
      <c r="C33" s="9">
        <f>'[2]Prod ikan TPI (2)'!Q40</f>
        <v>131.625</v>
      </c>
      <c r="D33" s="9">
        <f>'[2]Prod ikan TPI (2)'!AF40</f>
        <v>387.75</v>
      </c>
      <c r="E33" s="9">
        <f>'[2]Prod ikan TPI (2)'!AU40</f>
        <v>506.25</v>
      </c>
      <c r="F33" s="9">
        <f>'[2]Prod ikan TPI (2)'!BJ40</f>
        <v>729</v>
      </c>
      <c r="G33" s="9">
        <f>'[2]Prod ikan TPI (2)'!BY40</f>
        <v>545.6</v>
      </c>
      <c r="H33" s="9">
        <f>'[2]Prod ikan TPI (2)'!CN40</f>
        <v>744</v>
      </c>
      <c r="I33" s="9">
        <f>'[2]Prod ikan TPI (2)'!DD40</f>
        <v>615.75</v>
      </c>
      <c r="J33" s="9">
        <f>'[2]Prod ikan TPI (2)'!DS40</f>
        <v>1350</v>
      </c>
      <c r="K33" s="9">
        <f>'[2]Prod ikan TPI (2)'!EH40</f>
        <v>469.5</v>
      </c>
      <c r="L33" s="10">
        <f>'[2]Prod ikan TPI (2)'!EW40</f>
        <v>211.5</v>
      </c>
      <c r="M33" s="10">
        <f>'[2]Prod ikan TPI (2)'!FL40</f>
        <v>376</v>
      </c>
      <c r="N33" s="10">
        <f>'[2]Prod ikan TPI (2)'!GA40</f>
        <v>235</v>
      </c>
      <c r="O33" s="13">
        <f t="shared" si="0"/>
        <v>6301.9750000000004</v>
      </c>
    </row>
    <row r="34" spans="1:15" s="23" customFormat="1" ht="13.2" customHeight="1" x14ac:dyDescent="0.3">
      <c r="A34" s="36" t="s">
        <v>121</v>
      </c>
      <c r="B34" s="9" t="str">
        <f>'[2]Prod ikan rekap alat TPI'!B42</f>
        <v>Peperek</v>
      </c>
      <c r="C34" s="9">
        <f>'[2]Prod ikan TPI (2)'!Q41</f>
        <v>10010</v>
      </c>
      <c r="D34" s="9">
        <f>'[2]Prod ikan TPI (2)'!AF41</f>
        <v>8960</v>
      </c>
      <c r="E34" s="9">
        <f>'[2]Prod ikan TPI (2)'!AU41</f>
        <v>11200</v>
      </c>
      <c r="F34" s="9">
        <f>'[2]Prod ikan TPI (2)'!BJ41</f>
        <v>12670</v>
      </c>
      <c r="G34" s="9">
        <f>'[2]Prod ikan TPI (2)'!BY41</f>
        <v>6160</v>
      </c>
      <c r="H34" s="9">
        <f>'[2]Prod ikan TPI (2)'!CN41</f>
        <v>5180</v>
      </c>
      <c r="I34" s="9">
        <f>'[2]Prod ikan TPI (2)'!DD41</f>
        <v>4830</v>
      </c>
      <c r="J34" s="9">
        <f>'[2]Prod ikan TPI (2)'!DS41</f>
        <v>3496</v>
      </c>
      <c r="K34" s="9">
        <f>'[2]Prod ikan TPI (2)'!EH41</f>
        <v>3960</v>
      </c>
      <c r="L34" s="10">
        <f>'[2]Prod ikan TPI (2)'!EW41</f>
        <v>6020</v>
      </c>
      <c r="M34" s="10">
        <f>'[2]Prod ikan TPI (2)'!FL41</f>
        <v>10640</v>
      </c>
      <c r="N34" s="10">
        <f>'[2]Prod ikan TPI (2)'!GA41</f>
        <v>6790</v>
      </c>
      <c r="O34" s="13">
        <f t="shared" si="0"/>
        <v>89916</v>
      </c>
    </row>
    <row r="35" spans="1:15" s="23" customFormat="1" ht="13.2" customHeight="1" x14ac:dyDescent="0.3">
      <c r="A35" s="36" t="s">
        <v>123</v>
      </c>
      <c r="B35" s="9" t="str">
        <f>'[2]Prod ikan rekap alat TPI'!B43</f>
        <v>Pinjalo</v>
      </c>
      <c r="C35" s="9">
        <f>'[2]Prod ikan TPI (2)'!Q42</f>
        <v>490</v>
      </c>
      <c r="D35" s="9">
        <f>'[2]Prod ikan TPI (2)'!AF42</f>
        <v>252</v>
      </c>
      <c r="E35" s="9">
        <f>'[2]Prod ikan TPI (2)'!AU42</f>
        <v>630</v>
      </c>
      <c r="F35" s="9">
        <f>'[2]Prod ikan TPI (2)'!BJ42</f>
        <v>1190</v>
      </c>
      <c r="G35" s="9">
        <f>'[2]Prod ikan TPI (2)'!BY42</f>
        <v>630</v>
      </c>
      <c r="H35" s="9">
        <f>'[2]Prod ikan TPI (2)'!CN42</f>
        <v>840</v>
      </c>
      <c r="I35" s="9">
        <f>'[2]Prod ikan TPI (2)'!DD42</f>
        <v>1190</v>
      </c>
      <c r="J35" s="9">
        <f>'[2]Prod ikan TPI (2)'!DS42</f>
        <v>494</v>
      </c>
      <c r="K35" s="9">
        <f>'[2]Prod ikan TPI (2)'!EH42</f>
        <v>475</v>
      </c>
      <c r="L35" s="10">
        <f>'[2]Prod ikan TPI (2)'!EW42</f>
        <v>7700</v>
      </c>
      <c r="M35" s="10">
        <f>'[2]Prod ikan TPI (2)'!FL42</f>
        <v>10745</v>
      </c>
      <c r="N35" s="10">
        <f>'[2]Prod ikan TPI (2)'!GA42</f>
        <v>1610</v>
      </c>
      <c r="O35" s="13">
        <f t="shared" si="0"/>
        <v>26246</v>
      </c>
    </row>
    <row r="36" spans="1:15" s="23" customFormat="1" ht="13.2" customHeight="1" x14ac:dyDescent="0.3">
      <c r="A36" s="36" t="s">
        <v>122</v>
      </c>
      <c r="B36" s="9" t="str">
        <f>'[2]Prod ikan rekap alat TPI'!B44</f>
        <v>Pisang-pisang</v>
      </c>
      <c r="C36" s="9">
        <f>'[2]Prod ikan TPI (2)'!Q43</f>
        <v>31500</v>
      </c>
      <c r="D36" s="9">
        <f>'[2]Prod ikan TPI (2)'!AF43</f>
        <v>36400</v>
      </c>
      <c r="E36" s="9">
        <f>'[2]Prod ikan TPI (2)'!AU43</f>
        <v>28840</v>
      </c>
      <c r="F36" s="9">
        <f>'[2]Prod ikan TPI (2)'!BJ43</f>
        <v>42560</v>
      </c>
      <c r="G36" s="9">
        <f>'[2]Prod ikan TPI (2)'!BY43</f>
        <v>27559</v>
      </c>
      <c r="H36" s="9">
        <f>'[2]Prod ikan TPI (2)'!CN43</f>
        <v>37870</v>
      </c>
      <c r="I36" s="9">
        <f>'[2]Prod ikan TPI (2)'!DD43</f>
        <v>29400</v>
      </c>
      <c r="J36" s="9">
        <f>'[2]Prod ikan TPI (2)'!DS43</f>
        <v>21280</v>
      </c>
      <c r="K36" s="9">
        <f>'[2]Prod ikan TPI (2)'!EH43</f>
        <v>27700</v>
      </c>
      <c r="L36" s="10">
        <f>'[2]Prod ikan TPI (2)'!EW43</f>
        <v>27230</v>
      </c>
      <c r="M36" s="10">
        <f>'[2]Prod ikan TPI (2)'!FL43</f>
        <v>22890</v>
      </c>
      <c r="N36" s="10">
        <f>'[2]Prod ikan TPI (2)'!GA43</f>
        <v>28784</v>
      </c>
      <c r="O36" s="13">
        <f t="shared" si="0"/>
        <v>362013</v>
      </c>
    </row>
    <row r="37" spans="1:15" s="23" customFormat="1" ht="13.2" customHeight="1" x14ac:dyDescent="0.3">
      <c r="A37" s="36" t="s">
        <v>123</v>
      </c>
      <c r="B37" s="9" t="str">
        <f>'[2]Prod ikan rekap alat TPI'!B47</f>
        <v>Sebelah</v>
      </c>
      <c r="C37" s="9">
        <f>'[2]Prod ikan TPI (2)'!Q46</f>
        <v>3220</v>
      </c>
      <c r="D37" s="9">
        <f>'[2]Prod ikan TPI (2)'!AF46</f>
        <v>2100</v>
      </c>
      <c r="E37" s="9">
        <f>'[2]Prod ikan TPI (2)'!AU46</f>
        <v>2800</v>
      </c>
      <c r="F37" s="9">
        <f>'[2]Prod ikan TPI (2)'!BJ46</f>
        <v>1946</v>
      </c>
      <c r="G37" s="9">
        <f>'[2]Prod ikan TPI (2)'!BY46</f>
        <v>2240</v>
      </c>
      <c r="H37" s="9">
        <f>'[2]Prod ikan TPI (2)'!CN46</f>
        <v>2870</v>
      </c>
      <c r="I37" s="9">
        <f>'[2]Prod ikan TPI (2)'!DD46</f>
        <v>2240</v>
      </c>
      <c r="J37" s="9">
        <f>'[2]Prod ikan TPI (2)'!DS46</f>
        <v>950</v>
      </c>
      <c r="K37" s="9">
        <f>'[2]Prod ikan TPI (2)'!EH46</f>
        <v>1000</v>
      </c>
      <c r="L37" s="10">
        <f>'[2]Prod ikan TPI (2)'!EW46</f>
        <v>994</v>
      </c>
      <c r="M37" s="10">
        <f>'[2]Prod ikan TPI (2)'!FL46</f>
        <v>1610</v>
      </c>
      <c r="N37" s="10">
        <f>'[2]Prod ikan TPI (2)'!GA46</f>
        <v>1610</v>
      </c>
      <c r="O37" s="13">
        <f t="shared" si="0"/>
        <v>23580</v>
      </c>
    </row>
    <row r="38" spans="1:15" s="23" customFormat="1" ht="13.2" customHeight="1" x14ac:dyDescent="0.3">
      <c r="A38" s="36" t="s">
        <v>124</v>
      </c>
      <c r="B38" s="9" t="str">
        <f>'[2]Prod ikan rekap alat TPI'!B48</f>
        <v>Selar Bentong</v>
      </c>
      <c r="C38" s="9">
        <f>'[2]Prod ikan TPI (2)'!Q47</f>
        <v>8016</v>
      </c>
      <c r="D38" s="9">
        <f>'[2]Prod ikan TPI (2)'!AF47</f>
        <v>10000</v>
      </c>
      <c r="E38" s="9">
        <f>'[2]Prod ikan TPI (2)'!AU47</f>
        <v>15840</v>
      </c>
      <c r="F38" s="9">
        <f>'[2]Prod ikan TPI (2)'!BJ47</f>
        <v>23328</v>
      </c>
      <c r="G38" s="9">
        <f>'[2]Prod ikan TPI (2)'!BY47</f>
        <v>7721.6</v>
      </c>
      <c r="H38" s="9">
        <f>'[2]Prod ikan TPI (2)'!CN47</f>
        <v>7924.8</v>
      </c>
      <c r="I38" s="9">
        <f>'[2]Prod ikan TPI (2)'!DD47</f>
        <v>5532.8</v>
      </c>
      <c r="J38" s="9">
        <f>'[2]Prod ikan TPI (2)'!DS47</f>
        <v>4872</v>
      </c>
      <c r="K38" s="9">
        <f>'[2]Prod ikan TPI (2)'!EH47</f>
        <v>14650.439999999999</v>
      </c>
      <c r="L38" s="10">
        <f>'[2]Prod ikan TPI (2)'!EW47</f>
        <v>23465</v>
      </c>
      <c r="M38" s="10">
        <f>'[2]Prod ikan TPI (2)'!FL47</f>
        <v>26630</v>
      </c>
      <c r="N38" s="10">
        <f>'[2]Prod ikan TPI (2)'!GA47</f>
        <v>23940</v>
      </c>
      <c r="O38" s="13">
        <f t="shared" si="0"/>
        <v>171920.64000000001</v>
      </c>
    </row>
    <row r="39" spans="1:15" s="23" customFormat="1" ht="13.2" customHeight="1" x14ac:dyDescent="0.3">
      <c r="A39" s="36" t="s">
        <v>123</v>
      </c>
      <c r="B39" s="9" t="str">
        <f>'[2]Prod ikan rekap alat TPI'!B49</f>
        <v>Selar Kuning</v>
      </c>
      <c r="C39" s="9">
        <f>'[2]Prod ikan TPI (2)'!Q48</f>
        <v>1240</v>
      </c>
      <c r="D39" s="9">
        <f>'[2]Prod ikan TPI (2)'!AF48</f>
        <v>3360</v>
      </c>
      <c r="E39" s="9">
        <f>'[2]Prod ikan TPI (2)'!AU48</f>
        <v>3720</v>
      </c>
      <c r="F39" s="9">
        <f>'[2]Prod ikan TPI (2)'!BJ48</f>
        <v>4929</v>
      </c>
      <c r="G39" s="9">
        <f>'[2]Prod ikan TPI (2)'!BY48</f>
        <v>2262.4</v>
      </c>
      <c r="H39" s="9">
        <f>'[2]Prod ikan TPI (2)'!CN48</f>
        <v>2504.8000000000002</v>
      </c>
      <c r="I39" s="9">
        <f>'[2]Prod ikan TPI (2)'!DD48</f>
        <v>1884.1</v>
      </c>
      <c r="J39" s="9">
        <f>'[2]Prod ikan TPI (2)'!DS48</f>
        <v>420</v>
      </c>
      <c r="K39" s="9">
        <f>'[2]Prod ikan TPI (2)'!EH48</f>
        <v>4876</v>
      </c>
      <c r="L39" s="10">
        <f>'[2]Prod ikan TPI (2)'!EW48</f>
        <v>3800</v>
      </c>
      <c r="M39" s="10">
        <f>'[2]Prod ikan TPI (2)'!FL48</f>
        <v>6600</v>
      </c>
      <c r="N39" s="10">
        <f>'[2]Prod ikan TPI (2)'!GA48</f>
        <v>4200</v>
      </c>
      <c r="O39" s="13">
        <f t="shared" si="0"/>
        <v>39796.300000000003</v>
      </c>
    </row>
    <row r="40" spans="1:15" s="23" customFormat="1" ht="13.2" customHeight="1" x14ac:dyDescent="0.3">
      <c r="A40" s="36" t="s">
        <v>123</v>
      </c>
      <c r="B40" s="9" t="str">
        <f>'[2]Prod ikan rekap alat TPI'!B50</f>
        <v>Swanggi</v>
      </c>
      <c r="C40" s="9">
        <f>'[2]Prod ikan TPI (2)'!Q49</f>
        <v>1089</v>
      </c>
      <c r="D40" s="9">
        <f>'[2]Prod ikan TPI (2)'!AF49</f>
        <v>2271.5</v>
      </c>
      <c r="E40" s="9">
        <f>'[2]Prod ikan TPI (2)'!AU49</f>
        <v>2410.6499999999996</v>
      </c>
      <c r="F40" s="9">
        <f>'[2]Prod ikan TPI (2)'!BJ49</f>
        <v>1237.5</v>
      </c>
      <c r="G40" s="9">
        <f>'[2]Prod ikan TPI (2)'!BY49</f>
        <v>1124.8</v>
      </c>
      <c r="H40" s="9">
        <f>'[2]Prod ikan TPI (2)'!CN49</f>
        <v>1430.6</v>
      </c>
      <c r="I40" s="9">
        <f>'[2]Prod ikan TPI (2)'!DD49</f>
        <v>1380.6</v>
      </c>
      <c r="J40" s="9">
        <f>'[2]Prod ikan TPI (2)'!DS49</f>
        <v>904.8</v>
      </c>
      <c r="K40" s="9">
        <f>'[2]Prod ikan TPI (2)'!EH49</f>
        <v>1920.8</v>
      </c>
      <c r="L40" s="10">
        <f>'[2]Prod ikan TPI (2)'!EW49</f>
        <v>1550</v>
      </c>
      <c r="M40" s="10">
        <f>'[2]Prod ikan TPI (2)'!FL49</f>
        <v>5750</v>
      </c>
      <c r="N40" s="10">
        <f>'[2]Prod ikan TPI (2)'!GA49</f>
        <v>2100</v>
      </c>
      <c r="O40" s="13">
        <f t="shared" si="0"/>
        <v>23170.25</v>
      </c>
    </row>
    <row r="41" spans="1:15" s="23" customFormat="1" ht="13.2" customHeight="1" x14ac:dyDescent="0.3">
      <c r="A41" s="36" t="s">
        <v>121</v>
      </c>
      <c r="B41" s="9" t="str">
        <f>'[2]Prod ikan rekap alat TPI'!B51</f>
        <v>Tenggiri</v>
      </c>
      <c r="C41" s="9">
        <f>'[2]Prod ikan TPI (2)'!Q50</f>
        <v>670</v>
      </c>
      <c r="D41" s="9">
        <f>'[2]Prod ikan TPI (2)'!AF50</f>
        <v>700</v>
      </c>
      <c r="E41" s="9">
        <f>'[2]Prod ikan TPI (2)'!AU50</f>
        <v>452.25</v>
      </c>
      <c r="F41" s="9">
        <f>'[2]Prod ikan TPI (2)'!BJ50</f>
        <v>569.5</v>
      </c>
      <c r="G41" s="9">
        <f>'[2]Prod ikan TPI (2)'!BY50</f>
        <v>447.3</v>
      </c>
      <c r="H41" s="9">
        <f>'[2]Prod ikan TPI (2)'!CN50</f>
        <v>607.04999999999995</v>
      </c>
      <c r="I41" s="9">
        <f>'[2]Prod ikan TPI (2)'!DD50</f>
        <v>875.71</v>
      </c>
      <c r="J41" s="9">
        <f>'[2]Prod ikan TPI (2)'!DS50</f>
        <v>354</v>
      </c>
      <c r="K41" s="9">
        <f>'[2]Prod ikan TPI (2)'!EH50</f>
        <v>361.40000000000003</v>
      </c>
      <c r="L41" s="10">
        <f>'[2]Prod ikan TPI (2)'!EW50</f>
        <v>360</v>
      </c>
      <c r="M41" s="10">
        <f>'[2]Prod ikan TPI (2)'!FL50</f>
        <v>2100</v>
      </c>
      <c r="N41" s="10">
        <f>'[2]Prod ikan TPI (2)'!GA50</f>
        <v>420</v>
      </c>
      <c r="O41" s="13">
        <f t="shared" si="0"/>
        <v>7917.21</v>
      </c>
    </row>
    <row r="42" spans="1:15" s="25" customFormat="1" ht="13.2" customHeight="1" x14ac:dyDescent="0.3">
      <c r="A42" s="36" t="s">
        <v>121</v>
      </c>
      <c r="B42" s="9" t="str">
        <f>'[2]Prod ikan rekap alat TPI'!B52</f>
        <v>Tenggiri Papan</v>
      </c>
      <c r="C42" s="9">
        <f>'[2]Prod ikan TPI (2)'!Q51</f>
        <v>452.25</v>
      </c>
      <c r="D42" s="9">
        <f>'[2]Prod ikan TPI (2)'!AF51</f>
        <v>480</v>
      </c>
      <c r="E42" s="9">
        <f>'[2]Prod ikan TPI (2)'!AU51</f>
        <v>368.5</v>
      </c>
      <c r="F42" s="9">
        <f>'[2]Prod ikan TPI (2)'!BJ51</f>
        <v>519.25</v>
      </c>
      <c r="G42" s="9">
        <f>'[2]Prod ikan TPI (2)'!BY51</f>
        <v>394.05</v>
      </c>
      <c r="H42" s="9">
        <f>'[2]Prod ikan TPI (2)'!CN51</f>
        <v>298.20000000000005</v>
      </c>
      <c r="I42" s="9">
        <f>'[2]Prod ikan TPI (2)'!DD51</f>
        <v>414.81</v>
      </c>
      <c r="J42" s="9">
        <f>'[2]Prod ikan TPI (2)'!DS51</f>
        <v>413</v>
      </c>
      <c r="K42" s="9">
        <f>'[2]Prod ikan TPI (2)'!EH51</f>
        <v>1028.5999999999999</v>
      </c>
      <c r="L42" s="10">
        <f>'[2]Prod ikan TPI (2)'!EW51</f>
        <v>820</v>
      </c>
      <c r="M42" s="10">
        <f>'[2]Prod ikan TPI (2)'!FL51</f>
        <v>1158</v>
      </c>
      <c r="N42" s="10">
        <f>'[2]Prod ikan TPI (2)'!GA51</f>
        <v>1060</v>
      </c>
      <c r="O42" s="13">
        <f t="shared" si="0"/>
        <v>7406.66</v>
      </c>
    </row>
    <row r="43" spans="1:15" s="23" customFormat="1" ht="13.2" customHeight="1" x14ac:dyDescent="0.3">
      <c r="A43" s="36" t="s">
        <v>121</v>
      </c>
      <c r="B43" s="9" t="str">
        <f>'[2]Prod ikan rekap alat TPI'!B53</f>
        <v>Tetengkek</v>
      </c>
      <c r="C43" s="9">
        <f>'[2]Prod ikan TPI (2)'!Q52</f>
        <v>2136.75</v>
      </c>
      <c r="D43" s="9">
        <f>'[2]Prod ikan TPI (2)'!AF52</f>
        <v>783</v>
      </c>
      <c r="E43" s="9">
        <f>'[2]Prod ikan TPI (2)'!AU52</f>
        <v>1039.5</v>
      </c>
      <c r="F43" s="9">
        <f>'[2]Prod ikan TPI (2)'!BJ52</f>
        <v>793.09999999999991</v>
      </c>
      <c r="G43" s="9">
        <f>'[2]Prod ikan TPI (2)'!BY52</f>
        <v>750.96</v>
      </c>
      <c r="H43" s="9">
        <f>'[2]Prod ikan TPI (2)'!CN52</f>
        <v>693</v>
      </c>
      <c r="I43" s="9">
        <f>'[2]Prod ikan TPI (2)'!DD52</f>
        <v>473.6</v>
      </c>
      <c r="J43" s="9">
        <f>'[2]Prod ikan TPI (2)'!DS52</f>
        <v>587.1</v>
      </c>
      <c r="K43" s="9">
        <f>'[2]Prod ikan TPI (2)'!EH52</f>
        <v>1095.5999999999999</v>
      </c>
      <c r="L43" s="10">
        <f>'[2]Prod ikan TPI (2)'!EW52</f>
        <v>1840</v>
      </c>
      <c r="M43" s="10">
        <f>'[2]Prod ikan TPI (2)'!FL52</f>
        <v>1720</v>
      </c>
      <c r="N43" s="10">
        <f>'[2]Prod ikan TPI (2)'!GA52</f>
        <v>2200</v>
      </c>
      <c r="O43" s="13">
        <f t="shared" si="0"/>
        <v>14112.61</v>
      </c>
    </row>
    <row r="44" spans="1:15" s="23" customFormat="1" ht="13.2" customHeight="1" x14ac:dyDescent="0.3">
      <c r="A44" s="36" t="s">
        <v>123</v>
      </c>
      <c r="B44" s="9" t="str">
        <f>'[2]Prod ikan rekap alat TPI'!B54</f>
        <v>Tongkol</v>
      </c>
      <c r="C44" s="9">
        <f>'[2]Prod ikan TPI (2)'!Q53</f>
        <v>462</v>
      </c>
      <c r="D44" s="9">
        <f>'[2]Prod ikan TPI (2)'!AF53</f>
        <v>957</v>
      </c>
      <c r="E44" s="9">
        <f>'[2]Prod ikan TPI (2)'!AU53</f>
        <v>242.55000000000004</v>
      </c>
      <c r="F44" s="9">
        <f>'[2]Prod ikan TPI (2)'!BJ53</f>
        <v>500.5</v>
      </c>
      <c r="G44" s="9">
        <f>'[2]Prod ikan TPI (2)'!BY53</f>
        <v>16994.940000000002</v>
      </c>
      <c r="H44" s="9">
        <f>'[2]Prod ikan TPI (2)'!CN53</f>
        <v>1256.6400000000001</v>
      </c>
      <c r="I44" s="9">
        <f>'[2]Prod ikan TPI (2)'!DD53+50</f>
        <v>1470.8</v>
      </c>
      <c r="J44" s="9">
        <f>'[2]Prod ikan TPI (2)'!DS53-114</f>
        <v>899.5200000000001</v>
      </c>
      <c r="K44" s="9">
        <f>'[2]Prod ikan TPI (2)'!EH53</f>
        <v>730.4</v>
      </c>
      <c r="L44" s="10">
        <f>'[2]Prod ikan TPI (2)'!EW53</f>
        <v>880</v>
      </c>
      <c r="M44" s="10">
        <f>'[2]Prod ikan TPI (2)'!FL53</f>
        <v>560</v>
      </c>
      <c r="N44" s="10">
        <f>'[2]Prod ikan TPI (2)'!GA53</f>
        <v>1020</v>
      </c>
      <c r="O44" s="13">
        <f t="shared" si="0"/>
        <v>25974.350000000002</v>
      </c>
    </row>
    <row r="45" spans="1:15" s="23" customFormat="1" ht="13.2" customHeight="1" x14ac:dyDescent="0.3">
      <c r="A45" s="36" t="s">
        <v>121</v>
      </c>
      <c r="B45" s="9" t="str">
        <f>'[2]Prod ikan rekap alat TPI'!B55</f>
        <v>Tongkol Abu-Abu</v>
      </c>
      <c r="C45" s="9">
        <f>'[2]Prod ikan TPI (2)'!Q54</f>
        <v>346.5</v>
      </c>
      <c r="D45" s="9">
        <f>'[2]Prod ikan TPI (2)'!AF54</f>
        <v>217.5</v>
      </c>
      <c r="E45" s="9">
        <f>'[2]Prod ikan TPI (2)'!AU54</f>
        <v>308</v>
      </c>
      <c r="F45" s="9">
        <f>'[2]Prod ikan TPI (2)'!BJ54</f>
        <v>192.5</v>
      </c>
      <c r="G45" s="9">
        <f>'[2]Prod ikan TPI (2)'!BY54</f>
        <v>581.1</v>
      </c>
      <c r="H45" s="9">
        <f>'[2]Prod ikan TPI (2)'!CN54</f>
        <v>1293.5999999999999</v>
      </c>
      <c r="I45" s="9">
        <f>'[2]Prod ikan TPI (2)'!DD54</f>
        <v>236.8</v>
      </c>
      <c r="J45" s="9">
        <f>'[2]Prod ikan TPI (2)'!DS54</f>
        <v>525.29999999999995</v>
      </c>
      <c r="K45" s="9">
        <f>'[2]Prod ikan TPI (2)'!EH54</f>
        <v>282.2</v>
      </c>
      <c r="L45" s="10">
        <f>'[2]Prod ikan TPI (2)'!EW54</f>
        <v>360</v>
      </c>
      <c r="M45" s="10">
        <f>'[2]Prod ikan TPI (2)'!FL54</f>
        <v>1120</v>
      </c>
      <c r="N45" s="10">
        <f>'[2]Prod ikan TPI (2)'!GA54</f>
        <v>1720</v>
      </c>
      <c r="O45" s="13">
        <f t="shared" si="0"/>
        <v>7183.5</v>
      </c>
    </row>
    <row r="46" spans="1:15" s="23" customFormat="1" ht="13.2" customHeight="1" x14ac:dyDescent="0.3">
      <c r="A46" s="36" t="s">
        <v>121</v>
      </c>
      <c r="B46" s="9" t="str">
        <f>'[2]Prod ikan rekap alat TPI'!B56</f>
        <v>Tongkol Komo</v>
      </c>
      <c r="C46" s="9">
        <f>'[2]Prod ikan TPI (2)'!Q55</f>
        <v>4620</v>
      </c>
      <c r="D46" s="9">
        <f>'[2]Prod ikan TPI (2)'!AF55</f>
        <v>4089</v>
      </c>
      <c r="E46" s="9">
        <f>'[2]Prod ikan TPI (2)'!AU55</f>
        <v>7815.5</v>
      </c>
      <c r="F46" s="9">
        <f>'[2]Prod ikan TPI (2)'!BJ55</f>
        <v>9278.5</v>
      </c>
      <c r="G46" s="9">
        <f>'[2]Prod ikan TPI (2)'!BY55</f>
        <v>7241.4</v>
      </c>
      <c r="H46" s="9">
        <f>'[2]Prod ikan TPI (2)'!CN55</f>
        <v>9563.4</v>
      </c>
      <c r="I46" s="9">
        <f>'[2]Prod ikan TPI (2)'!DD55</f>
        <v>6127.2</v>
      </c>
      <c r="J46" s="9">
        <f>'[2]Prod ikan TPI (2)'!DS55</f>
        <v>2410.1999999999998</v>
      </c>
      <c r="K46" s="9">
        <f>'[2]Prod ikan TPI (2)'!EH55</f>
        <v>2091.6</v>
      </c>
      <c r="L46" s="10">
        <f>'[2]Prod ikan TPI (2)'!EW55</f>
        <v>1024</v>
      </c>
      <c r="M46" s="10">
        <f>'[2]Prod ikan TPI (2)'!FL55</f>
        <v>2120</v>
      </c>
      <c r="N46" s="10">
        <f>'[2]Prod ikan TPI (2)'!GA55</f>
        <v>2080</v>
      </c>
      <c r="O46" s="13">
        <f t="shared" si="0"/>
        <v>58460.799999999996</v>
      </c>
    </row>
    <row r="47" spans="1:15" s="23" customFormat="1" ht="13.2" customHeight="1" x14ac:dyDescent="0.3">
      <c r="A47" s="36" t="s">
        <v>121</v>
      </c>
      <c r="B47" s="9" t="str">
        <f>'[2]Prod ikan rekap alat TPI'!B57</f>
        <v>Tongkol Kray</v>
      </c>
      <c r="C47" s="9">
        <f>'[2]Prod ikan TPI (2)'!Q56</f>
        <v>5775</v>
      </c>
      <c r="D47" s="9">
        <f>'[2]Prod ikan TPI (2)'!AF56</f>
        <v>5220</v>
      </c>
      <c r="E47" s="9">
        <f>'[2]Prod ikan TPI (2)'!AU56</f>
        <v>4235</v>
      </c>
      <c r="F47" s="9">
        <f>'[2]Prod ikan TPI (2)'!BJ56</f>
        <v>7931</v>
      </c>
      <c r="G47" s="9">
        <f>'[2]Prod ikan TPI (2)'!BY56</f>
        <v>5900.4</v>
      </c>
      <c r="H47" s="9">
        <f>'[2]Prod ikan TPI (2)'!CN56</f>
        <v>7576.8</v>
      </c>
      <c r="I47" s="9">
        <f>'[2]Prod ikan TPI (2)'!DD56</f>
        <v>4854.3999999999996</v>
      </c>
      <c r="J47" s="9">
        <f>'[2]Prod ikan TPI (2)'!DS56</f>
        <v>3399</v>
      </c>
      <c r="K47" s="9">
        <f>'[2]Prod ikan TPI (2)'!EH56</f>
        <v>5743.6</v>
      </c>
      <c r="L47" s="10">
        <f>'[2]Prod ikan TPI (2)'!EW56</f>
        <v>2400</v>
      </c>
      <c r="M47" s="10">
        <f>'[2]Prod ikan TPI (2)'!FL56</f>
        <v>2080</v>
      </c>
      <c r="N47" s="10">
        <f>'[2]Prod ikan TPI (2)'!GA56</f>
        <v>3560</v>
      </c>
      <c r="O47" s="13">
        <f t="shared" si="0"/>
        <v>58675.200000000004</v>
      </c>
    </row>
    <row r="48" spans="1:15" s="23" customFormat="1" ht="13.2" customHeight="1" x14ac:dyDescent="0.3">
      <c r="A48" s="36" t="s">
        <v>121</v>
      </c>
      <c r="B48" s="9" t="str">
        <f>'[2]Prod ikan rekap alat TPI'!B58</f>
        <v>Tongkol Lisong</v>
      </c>
      <c r="C48" s="9">
        <f>'[2]Prod ikan TPI (2)'!Q57</f>
        <v>7700</v>
      </c>
      <c r="D48" s="9">
        <f>'[2]Prod ikan TPI (2)'!AF57</f>
        <v>10570.5</v>
      </c>
      <c r="E48" s="12">
        <f>'[2]Prod ikan TPI (2)'!AU57</f>
        <v>7988.75</v>
      </c>
      <c r="F48" s="9">
        <f>'[2]Prod ikan TPI (2)'!BJ57</f>
        <v>6699</v>
      </c>
      <c r="G48" s="9">
        <f>'[2]Prod ikan TPI (2)'!BY57</f>
        <v>3808.44</v>
      </c>
      <c r="H48" s="9">
        <f>'[2]Prod ikan TPI (2)'!CN57</f>
        <v>4851</v>
      </c>
      <c r="I48" s="9">
        <f>'[2]Prod ikan TPI (2)'!DD57</f>
        <v>5979.2</v>
      </c>
      <c r="J48" s="9">
        <f>'[2]Prod ikan TPI (2)'!DS57</f>
        <v>2472</v>
      </c>
      <c r="K48" s="9">
        <f>'[2]Prod ikan TPI (2)'!EH57</f>
        <v>3984</v>
      </c>
      <c r="L48" s="10">
        <f>'[2]Prod ikan TPI (2)'!EW57</f>
        <v>20504</v>
      </c>
      <c r="M48" s="10">
        <f>'[2]Prod ikan TPI (2)'!FL57</f>
        <v>20040</v>
      </c>
      <c r="N48" s="10">
        <f>'[2]Prod ikan TPI (2)'!GA57</f>
        <v>20920</v>
      </c>
      <c r="O48" s="13">
        <f t="shared" si="0"/>
        <v>115516.89</v>
      </c>
    </row>
    <row r="49" spans="1:15" s="23" customFormat="1" ht="13.2" customHeight="1" x14ac:dyDescent="0.3">
      <c r="A49" s="36" t="s">
        <v>121</v>
      </c>
      <c r="B49" s="9" t="str">
        <f>'[2]Prod ikan rekap alat TPI'!B59</f>
        <v>Tuna Mata Besar</v>
      </c>
      <c r="C49" s="9">
        <f>'[2]Prod ikan TPI (2)'!Q58</f>
        <v>29692.75</v>
      </c>
      <c r="D49" s="9">
        <f>'[2]Prod ikan TPI (2)'!AF58</f>
        <v>14677.5</v>
      </c>
      <c r="E49" s="9">
        <f>'[2]Prod ikan TPI (2)'!AU58</f>
        <v>44617.600000000006</v>
      </c>
      <c r="F49" s="9">
        <f>'[2]Prod ikan TPI (2)'!BJ58</f>
        <v>35359.375</v>
      </c>
      <c r="G49" s="9">
        <f>'[2]Prod ikan TPI (2)'!BY58</f>
        <v>20157.900000000001</v>
      </c>
      <c r="H49" s="9">
        <f>'[2]Prod ikan TPI (2)'!CN58</f>
        <v>12222.63</v>
      </c>
      <c r="I49" s="9">
        <f>'[2]Prod ikan TPI (2)'!DD58</f>
        <v>6188.5950000000003</v>
      </c>
      <c r="J49" s="9">
        <f>'[2]Prod ikan TPI (2)'!DS58</f>
        <v>4182.78</v>
      </c>
      <c r="K49" s="9">
        <f>'[2]Prod ikan TPI (2)'!EH58</f>
        <v>3557.6510000000003</v>
      </c>
      <c r="L49" s="10">
        <f>'[2]Prod ikan TPI (2)'!EW58</f>
        <v>5170</v>
      </c>
      <c r="M49" s="10">
        <f>'[2]Prod ikan TPI (2)'!FL58</f>
        <v>6614.7</v>
      </c>
      <c r="N49" s="10">
        <f>'[2]Prod ikan TPI (2)'!GA58</f>
        <v>4860</v>
      </c>
      <c r="O49" s="13">
        <f t="shared" si="0"/>
        <v>187301.48100000003</v>
      </c>
    </row>
    <row r="50" spans="1:15" s="23" customFormat="1" ht="13.2" customHeight="1" x14ac:dyDescent="0.3">
      <c r="A50" s="36" t="s">
        <v>121</v>
      </c>
      <c r="B50" s="9" t="str">
        <f>'[2]Prod ikan rekap alat TPI'!B60</f>
        <v>Tuna Sirip Kuning</v>
      </c>
      <c r="C50" s="9">
        <f>'[2]Prod ikan TPI (2)'!Q59</f>
        <v>66690</v>
      </c>
      <c r="D50" s="9">
        <f>'[2]Prod ikan TPI (2)'!AF59</f>
        <v>75560.625</v>
      </c>
      <c r="E50" s="9">
        <f>'[2]Prod ikan TPI (2)'!AU59</f>
        <v>107730</v>
      </c>
      <c r="F50" s="9">
        <f>'[2]Prod ikan TPI (2)'!BJ59</f>
        <v>120127.5</v>
      </c>
      <c r="G50" s="9">
        <f>'[2]Prod ikan TPI (2)'!BY59</f>
        <v>76542.45</v>
      </c>
      <c r="H50" s="9">
        <f>'[2]Prod ikan TPI (2)'!CN59</f>
        <v>86973.345000000001</v>
      </c>
      <c r="I50" s="9">
        <f>'[2]Prod ikan TPI (2)'!DD59</f>
        <v>117583.30499999999</v>
      </c>
      <c r="J50" s="9">
        <f>'[2]Prod ikan TPI (2)'!DS59</f>
        <v>79472.820000000007</v>
      </c>
      <c r="K50" s="9">
        <f>'[2]Prod ikan TPI (2)'!EH59-590</f>
        <v>53827.372750000002</v>
      </c>
      <c r="L50" s="10">
        <f>'[2]Prod ikan TPI (2)'!EW59</f>
        <v>73672.5</v>
      </c>
      <c r="M50" s="10">
        <f>'[2]Prod ikan TPI (2)'!FL59</f>
        <v>37259.474999999999</v>
      </c>
      <c r="N50" s="10">
        <f>'[2]Prod ikan TPI (2)'!GA59</f>
        <v>75000</v>
      </c>
      <c r="O50" s="13">
        <f t="shared" si="0"/>
        <v>970439.39275000012</v>
      </c>
    </row>
    <row r="51" spans="1:15" s="23" customFormat="1" ht="13.2" customHeight="1" x14ac:dyDescent="0.3">
      <c r="A51" s="42" t="s">
        <v>125</v>
      </c>
      <c r="B51" s="43"/>
      <c r="C51" s="13">
        <f t="shared" ref="C51:O51" si="1">SUM(C2:C50)</f>
        <v>443480.32500000001</v>
      </c>
      <c r="D51" s="13">
        <f t="shared" si="1"/>
        <v>419620.42499999999</v>
      </c>
      <c r="E51" s="13">
        <f t="shared" si="1"/>
        <v>600520.50000000012</v>
      </c>
      <c r="F51" s="13">
        <f t="shared" si="1"/>
        <v>611530.67500000005</v>
      </c>
      <c r="G51" s="13">
        <f t="shared" si="1"/>
        <v>403537.75000000006</v>
      </c>
      <c r="H51" s="13">
        <f t="shared" si="1"/>
        <v>461133.65500000003</v>
      </c>
      <c r="I51" s="13">
        <f t="shared" si="1"/>
        <v>507207.79999999981</v>
      </c>
      <c r="J51" s="13">
        <f t="shared" si="1"/>
        <v>456444.7699999999</v>
      </c>
      <c r="K51" s="13">
        <f t="shared" si="1"/>
        <v>494452.84374999994</v>
      </c>
      <c r="L51" s="13">
        <f t="shared" si="1"/>
        <v>667710.25</v>
      </c>
      <c r="M51" s="13">
        <f t="shared" si="1"/>
        <v>604718.35</v>
      </c>
      <c r="N51" s="13">
        <f t="shared" si="1"/>
        <v>594057.75</v>
      </c>
      <c r="O51" s="13">
        <f t="shared" si="1"/>
        <v>6264415.09375</v>
      </c>
    </row>
  </sheetData>
  <mergeCells count="1">
    <mergeCell ref="A51:B51"/>
  </mergeCells>
  <printOptions horizontalCentered="1"/>
  <pageMargins left="0.70866141732283472" right="0.70866141732283472" top="0.39370078740157483" bottom="0.39370078740157483" header="0" footer="0.31496062992125984"/>
  <pageSetup paperSize="9" scale="9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457FF-F7A5-407D-A7AE-4788C9B876AA}">
  <dimension ref="A1:O51"/>
  <sheetViews>
    <sheetView view="pageBreakPreview" zoomScaleNormal="100" zoomScaleSheetLayoutView="100" workbookViewId="0">
      <selection sqref="A1:XFD1"/>
    </sheetView>
  </sheetViews>
  <sheetFormatPr defaultRowHeight="12" x14ac:dyDescent="0.25"/>
  <cols>
    <col min="1" max="1" width="21.6640625" style="15" bestFit="1" customWidth="1"/>
    <col min="2" max="2" width="24.33203125" style="2" customWidth="1"/>
    <col min="3" max="3" width="7.5546875" style="2" customWidth="1"/>
    <col min="4" max="4" width="9.5546875" style="2" customWidth="1"/>
    <col min="5" max="6" width="7.88671875" style="2" customWidth="1"/>
    <col min="7" max="7" width="11.6640625" style="2" customWidth="1"/>
    <col min="8" max="9" width="7.6640625" style="2" customWidth="1"/>
    <col min="10" max="10" width="8.6640625" style="2" customWidth="1"/>
    <col min="11" max="14" width="9.5546875" style="2" customWidth="1"/>
    <col min="15" max="15" width="11.6640625" style="2" customWidth="1"/>
    <col min="16" max="253" width="9.109375" style="2"/>
    <col min="254" max="254" width="5.33203125" style="2" customWidth="1"/>
    <col min="255" max="255" width="34.44140625" style="2" customWidth="1"/>
    <col min="256" max="256" width="12.5546875" style="2" customWidth="1"/>
    <col min="257" max="261" width="11.109375" style="2" bestFit="1" customWidth="1"/>
    <col min="262" max="267" width="11.44140625" style="2" customWidth="1"/>
    <col min="268" max="268" width="15" style="2" customWidth="1"/>
    <col min="269" max="269" width="12" style="2" bestFit="1" customWidth="1"/>
    <col min="270" max="270" width="22.5546875" style="2" customWidth="1"/>
    <col min="271" max="271" width="13.88671875" style="2" bestFit="1" customWidth="1"/>
    <col min="272" max="509" width="9.109375" style="2"/>
    <col min="510" max="510" width="5.33203125" style="2" customWidth="1"/>
    <col min="511" max="511" width="34.44140625" style="2" customWidth="1"/>
    <col min="512" max="512" width="12.5546875" style="2" customWidth="1"/>
    <col min="513" max="517" width="11.109375" style="2" bestFit="1" customWidth="1"/>
    <col min="518" max="523" width="11.44140625" style="2" customWidth="1"/>
    <col min="524" max="524" width="15" style="2" customWidth="1"/>
    <col min="525" max="525" width="12" style="2" bestFit="1" customWidth="1"/>
    <col min="526" max="526" width="22.5546875" style="2" customWidth="1"/>
    <col min="527" max="527" width="13.88671875" style="2" bestFit="1" customWidth="1"/>
    <col min="528" max="765" width="9.109375" style="2"/>
    <col min="766" max="766" width="5.33203125" style="2" customWidth="1"/>
    <col min="767" max="767" width="34.44140625" style="2" customWidth="1"/>
    <col min="768" max="768" width="12.5546875" style="2" customWidth="1"/>
    <col min="769" max="773" width="11.109375" style="2" bestFit="1" customWidth="1"/>
    <col min="774" max="779" width="11.44140625" style="2" customWidth="1"/>
    <col min="780" max="780" width="15" style="2" customWidth="1"/>
    <col min="781" max="781" width="12" style="2" bestFit="1" customWidth="1"/>
    <col min="782" max="782" width="22.5546875" style="2" customWidth="1"/>
    <col min="783" max="783" width="13.88671875" style="2" bestFit="1" customWidth="1"/>
    <col min="784" max="1021" width="9.109375" style="2"/>
    <col min="1022" max="1022" width="5.33203125" style="2" customWidth="1"/>
    <col min="1023" max="1023" width="34.44140625" style="2" customWidth="1"/>
    <col min="1024" max="1024" width="12.5546875" style="2" customWidth="1"/>
    <col min="1025" max="1029" width="11.109375" style="2" bestFit="1" customWidth="1"/>
    <col min="1030" max="1035" width="11.44140625" style="2" customWidth="1"/>
    <col min="1036" max="1036" width="15" style="2" customWidth="1"/>
    <col min="1037" max="1037" width="12" style="2" bestFit="1" customWidth="1"/>
    <col min="1038" max="1038" width="22.5546875" style="2" customWidth="1"/>
    <col min="1039" max="1039" width="13.88671875" style="2" bestFit="1" customWidth="1"/>
    <col min="1040" max="1277" width="9.109375" style="2"/>
    <col min="1278" max="1278" width="5.33203125" style="2" customWidth="1"/>
    <col min="1279" max="1279" width="34.44140625" style="2" customWidth="1"/>
    <col min="1280" max="1280" width="12.5546875" style="2" customWidth="1"/>
    <col min="1281" max="1285" width="11.109375" style="2" bestFit="1" customWidth="1"/>
    <col min="1286" max="1291" width="11.44140625" style="2" customWidth="1"/>
    <col min="1292" max="1292" width="15" style="2" customWidth="1"/>
    <col min="1293" max="1293" width="12" style="2" bestFit="1" customWidth="1"/>
    <col min="1294" max="1294" width="22.5546875" style="2" customWidth="1"/>
    <col min="1295" max="1295" width="13.88671875" style="2" bestFit="1" customWidth="1"/>
    <col min="1296" max="1533" width="9.109375" style="2"/>
    <col min="1534" max="1534" width="5.33203125" style="2" customWidth="1"/>
    <col min="1535" max="1535" width="34.44140625" style="2" customWidth="1"/>
    <col min="1536" max="1536" width="12.5546875" style="2" customWidth="1"/>
    <col min="1537" max="1541" width="11.109375" style="2" bestFit="1" customWidth="1"/>
    <col min="1542" max="1547" width="11.44140625" style="2" customWidth="1"/>
    <col min="1548" max="1548" width="15" style="2" customWidth="1"/>
    <col min="1549" max="1549" width="12" style="2" bestFit="1" customWidth="1"/>
    <col min="1550" max="1550" width="22.5546875" style="2" customWidth="1"/>
    <col min="1551" max="1551" width="13.88671875" style="2" bestFit="1" customWidth="1"/>
    <col min="1552" max="1789" width="9.109375" style="2"/>
    <col min="1790" max="1790" width="5.33203125" style="2" customWidth="1"/>
    <col min="1791" max="1791" width="34.44140625" style="2" customWidth="1"/>
    <col min="1792" max="1792" width="12.5546875" style="2" customWidth="1"/>
    <col min="1793" max="1797" width="11.109375" style="2" bestFit="1" customWidth="1"/>
    <col min="1798" max="1803" width="11.44140625" style="2" customWidth="1"/>
    <col min="1804" max="1804" width="15" style="2" customWidth="1"/>
    <col min="1805" max="1805" width="12" style="2" bestFit="1" customWidth="1"/>
    <col min="1806" max="1806" width="22.5546875" style="2" customWidth="1"/>
    <col min="1807" max="1807" width="13.88671875" style="2" bestFit="1" customWidth="1"/>
    <col min="1808" max="2045" width="9.109375" style="2"/>
    <col min="2046" max="2046" width="5.33203125" style="2" customWidth="1"/>
    <col min="2047" max="2047" width="34.44140625" style="2" customWidth="1"/>
    <col min="2048" max="2048" width="12.5546875" style="2" customWidth="1"/>
    <col min="2049" max="2053" width="11.109375" style="2" bestFit="1" customWidth="1"/>
    <col min="2054" max="2059" width="11.44140625" style="2" customWidth="1"/>
    <col min="2060" max="2060" width="15" style="2" customWidth="1"/>
    <col min="2061" max="2061" width="12" style="2" bestFit="1" customWidth="1"/>
    <col min="2062" max="2062" width="22.5546875" style="2" customWidth="1"/>
    <col min="2063" max="2063" width="13.88671875" style="2" bestFit="1" customWidth="1"/>
    <col min="2064" max="2301" width="9.109375" style="2"/>
    <col min="2302" max="2302" width="5.33203125" style="2" customWidth="1"/>
    <col min="2303" max="2303" width="34.44140625" style="2" customWidth="1"/>
    <col min="2304" max="2304" width="12.5546875" style="2" customWidth="1"/>
    <col min="2305" max="2309" width="11.109375" style="2" bestFit="1" customWidth="1"/>
    <col min="2310" max="2315" width="11.44140625" style="2" customWidth="1"/>
    <col min="2316" max="2316" width="15" style="2" customWidth="1"/>
    <col min="2317" max="2317" width="12" style="2" bestFit="1" customWidth="1"/>
    <col min="2318" max="2318" width="22.5546875" style="2" customWidth="1"/>
    <col min="2319" max="2319" width="13.88671875" style="2" bestFit="1" customWidth="1"/>
    <col min="2320" max="2557" width="9.109375" style="2"/>
    <col min="2558" max="2558" width="5.33203125" style="2" customWidth="1"/>
    <col min="2559" max="2559" width="34.44140625" style="2" customWidth="1"/>
    <col min="2560" max="2560" width="12.5546875" style="2" customWidth="1"/>
    <col min="2561" max="2565" width="11.109375" style="2" bestFit="1" customWidth="1"/>
    <col min="2566" max="2571" width="11.44140625" style="2" customWidth="1"/>
    <col min="2572" max="2572" width="15" style="2" customWidth="1"/>
    <col min="2573" max="2573" width="12" style="2" bestFit="1" customWidth="1"/>
    <col min="2574" max="2574" width="22.5546875" style="2" customWidth="1"/>
    <col min="2575" max="2575" width="13.88671875" style="2" bestFit="1" customWidth="1"/>
    <col min="2576" max="2813" width="9.109375" style="2"/>
    <col min="2814" max="2814" width="5.33203125" style="2" customWidth="1"/>
    <col min="2815" max="2815" width="34.44140625" style="2" customWidth="1"/>
    <col min="2816" max="2816" width="12.5546875" style="2" customWidth="1"/>
    <col min="2817" max="2821" width="11.109375" style="2" bestFit="1" customWidth="1"/>
    <col min="2822" max="2827" width="11.44140625" style="2" customWidth="1"/>
    <col min="2828" max="2828" width="15" style="2" customWidth="1"/>
    <col min="2829" max="2829" width="12" style="2" bestFit="1" customWidth="1"/>
    <col min="2830" max="2830" width="22.5546875" style="2" customWidth="1"/>
    <col min="2831" max="2831" width="13.88671875" style="2" bestFit="1" customWidth="1"/>
    <col min="2832" max="3069" width="9.109375" style="2"/>
    <col min="3070" max="3070" width="5.33203125" style="2" customWidth="1"/>
    <col min="3071" max="3071" width="34.44140625" style="2" customWidth="1"/>
    <col min="3072" max="3072" width="12.5546875" style="2" customWidth="1"/>
    <col min="3073" max="3077" width="11.109375" style="2" bestFit="1" customWidth="1"/>
    <col min="3078" max="3083" width="11.44140625" style="2" customWidth="1"/>
    <col min="3084" max="3084" width="15" style="2" customWidth="1"/>
    <col min="3085" max="3085" width="12" style="2" bestFit="1" customWidth="1"/>
    <col min="3086" max="3086" width="22.5546875" style="2" customWidth="1"/>
    <col min="3087" max="3087" width="13.88671875" style="2" bestFit="1" customWidth="1"/>
    <col min="3088" max="3325" width="9.109375" style="2"/>
    <col min="3326" max="3326" width="5.33203125" style="2" customWidth="1"/>
    <col min="3327" max="3327" width="34.44140625" style="2" customWidth="1"/>
    <col min="3328" max="3328" width="12.5546875" style="2" customWidth="1"/>
    <col min="3329" max="3333" width="11.109375" style="2" bestFit="1" customWidth="1"/>
    <col min="3334" max="3339" width="11.44140625" style="2" customWidth="1"/>
    <col min="3340" max="3340" width="15" style="2" customWidth="1"/>
    <col min="3341" max="3341" width="12" style="2" bestFit="1" customWidth="1"/>
    <col min="3342" max="3342" width="22.5546875" style="2" customWidth="1"/>
    <col min="3343" max="3343" width="13.88671875" style="2" bestFit="1" customWidth="1"/>
    <col min="3344" max="3581" width="9.109375" style="2"/>
    <col min="3582" max="3582" width="5.33203125" style="2" customWidth="1"/>
    <col min="3583" max="3583" width="34.44140625" style="2" customWidth="1"/>
    <col min="3584" max="3584" width="12.5546875" style="2" customWidth="1"/>
    <col min="3585" max="3589" width="11.109375" style="2" bestFit="1" customWidth="1"/>
    <col min="3590" max="3595" width="11.44140625" style="2" customWidth="1"/>
    <col min="3596" max="3596" width="15" style="2" customWidth="1"/>
    <col min="3597" max="3597" width="12" style="2" bestFit="1" customWidth="1"/>
    <col min="3598" max="3598" width="22.5546875" style="2" customWidth="1"/>
    <col min="3599" max="3599" width="13.88671875" style="2" bestFit="1" customWidth="1"/>
    <col min="3600" max="3837" width="9.109375" style="2"/>
    <col min="3838" max="3838" width="5.33203125" style="2" customWidth="1"/>
    <col min="3839" max="3839" width="34.44140625" style="2" customWidth="1"/>
    <col min="3840" max="3840" width="12.5546875" style="2" customWidth="1"/>
    <col min="3841" max="3845" width="11.109375" style="2" bestFit="1" customWidth="1"/>
    <col min="3846" max="3851" width="11.44140625" style="2" customWidth="1"/>
    <col min="3852" max="3852" width="15" style="2" customWidth="1"/>
    <col min="3853" max="3853" width="12" style="2" bestFit="1" customWidth="1"/>
    <col min="3854" max="3854" width="22.5546875" style="2" customWidth="1"/>
    <col min="3855" max="3855" width="13.88671875" style="2" bestFit="1" customWidth="1"/>
    <col min="3856" max="4093" width="9.109375" style="2"/>
    <col min="4094" max="4094" width="5.33203125" style="2" customWidth="1"/>
    <col min="4095" max="4095" width="34.44140625" style="2" customWidth="1"/>
    <col min="4096" max="4096" width="12.5546875" style="2" customWidth="1"/>
    <col min="4097" max="4101" width="11.109375" style="2" bestFit="1" customWidth="1"/>
    <col min="4102" max="4107" width="11.44140625" style="2" customWidth="1"/>
    <col min="4108" max="4108" width="15" style="2" customWidth="1"/>
    <col min="4109" max="4109" width="12" style="2" bestFit="1" customWidth="1"/>
    <col min="4110" max="4110" width="22.5546875" style="2" customWidth="1"/>
    <col min="4111" max="4111" width="13.88671875" style="2" bestFit="1" customWidth="1"/>
    <col min="4112" max="4349" width="9.109375" style="2"/>
    <col min="4350" max="4350" width="5.33203125" style="2" customWidth="1"/>
    <col min="4351" max="4351" width="34.44140625" style="2" customWidth="1"/>
    <col min="4352" max="4352" width="12.5546875" style="2" customWidth="1"/>
    <col min="4353" max="4357" width="11.109375" style="2" bestFit="1" customWidth="1"/>
    <col min="4358" max="4363" width="11.44140625" style="2" customWidth="1"/>
    <col min="4364" max="4364" width="15" style="2" customWidth="1"/>
    <col min="4365" max="4365" width="12" style="2" bestFit="1" customWidth="1"/>
    <col min="4366" max="4366" width="22.5546875" style="2" customWidth="1"/>
    <col min="4367" max="4367" width="13.88671875" style="2" bestFit="1" customWidth="1"/>
    <col min="4368" max="4605" width="9.109375" style="2"/>
    <col min="4606" max="4606" width="5.33203125" style="2" customWidth="1"/>
    <col min="4607" max="4607" width="34.44140625" style="2" customWidth="1"/>
    <col min="4608" max="4608" width="12.5546875" style="2" customWidth="1"/>
    <col min="4609" max="4613" width="11.109375" style="2" bestFit="1" customWidth="1"/>
    <col min="4614" max="4619" width="11.44140625" style="2" customWidth="1"/>
    <col min="4620" max="4620" width="15" style="2" customWidth="1"/>
    <col min="4621" max="4621" width="12" style="2" bestFit="1" customWidth="1"/>
    <col min="4622" max="4622" width="22.5546875" style="2" customWidth="1"/>
    <col min="4623" max="4623" width="13.88671875" style="2" bestFit="1" customWidth="1"/>
    <col min="4624" max="4861" width="9.109375" style="2"/>
    <col min="4862" max="4862" width="5.33203125" style="2" customWidth="1"/>
    <col min="4863" max="4863" width="34.44140625" style="2" customWidth="1"/>
    <col min="4864" max="4864" width="12.5546875" style="2" customWidth="1"/>
    <col min="4865" max="4869" width="11.109375" style="2" bestFit="1" customWidth="1"/>
    <col min="4870" max="4875" width="11.44140625" style="2" customWidth="1"/>
    <col min="4876" max="4876" width="15" style="2" customWidth="1"/>
    <col min="4877" max="4877" width="12" style="2" bestFit="1" customWidth="1"/>
    <col min="4878" max="4878" width="22.5546875" style="2" customWidth="1"/>
    <col min="4879" max="4879" width="13.88671875" style="2" bestFit="1" customWidth="1"/>
    <col min="4880" max="5117" width="9.109375" style="2"/>
    <col min="5118" max="5118" width="5.33203125" style="2" customWidth="1"/>
    <col min="5119" max="5119" width="34.44140625" style="2" customWidth="1"/>
    <col min="5120" max="5120" width="12.5546875" style="2" customWidth="1"/>
    <col min="5121" max="5125" width="11.109375" style="2" bestFit="1" customWidth="1"/>
    <col min="5126" max="5131" width="11.44140625" style="2" customWidth="1"/>
    <col min="5132" max="5132" width="15" style="2" customWidth="1"/>
    <col min="5133" max="5133" width="12" style="2" bestFit="1" customWidth="1"/>
    <col min="5134" max="5134" width="22.5546875" style="2" customWidth="1"/>
    <col min="5135" max="5135" width="13.88671875" style="2" bestFit="1" customWidth="1"/>
    <col min="5136" max="5373" width="9.109375" style="2"/>
    <col min="5374" max="5374" width="5.33203125" style="2" customWidth="1"/>
    <col min="5375" max="5375" width="34.44140625" style="2" customWidth="1"/>
    <col min="5376" max="5376" width="12.5546875" style="2" customWidth="1"/>
    <col min="5377" max="5381" width="11.109375" style="2" bestFit="1" customWidth="1"/>
    <col min="5382" max="5387" width="11.44140625" style="2" customWidth="1"/>
    <col min="5388" max="5388" width="15" style="2" customWidth="1"/>
    <col min="5389" max="5389" width="12" style="2" bestFit="1" customWidth="1"/>
    <col min="5390" max="5390" width="22.5546875" style="2" customWidth="1"/>
    <col min="5391" max="5391" width="13.88671875" style="2" bestFit="1" customWidth="1"/>
    <col min="5392" max="5629" width="9.109375" style="2"/>
    <col min="5630" max="5630" width="5.33203125" style="2" customWidth="1"/>
    <col min="5631" max="5631" width="34.44140625" style="2" customWidth="1"/>
    <col min="5632" max="5632" width="12.5546875" style="2" customWidth="1"/>
    <col min="5633" max="5637" width="11.109375" style="2" bestFit="1" customWidth="1"/>
    <col min="5638" max="5643" width="11.44140625" style="2" customWidth="1"/>
    <col min="5644" max="5644" width="15" style="2" customWidth="1"/>
    <col min="5645" max="5645" width="12" style="2" bestFit="1" customWidth="1"/>
    <col min="5646" max="5646" width="22.5546875" style="2" customWidth="1"/>
    <col min="5647" max="5647" width="13.88671875" style="2" bestFit="1" customWidth="1"/>
    <col min="5648" max="5885" width="9.109375" style="2"/>
    <col min="5886" max="5886" width="5.33203125" style="2" customWidth="1"/>
    <col min="5887" max="5887" width="34.44140625" style="2" customWidth="1"/>
    <col min="5888" max="5888" width="12.5546875" style="2" customWidth="1"/>
    <col min="5889" max="5893" width="11.109375" style="2" bestFit="1" customWidth="1"/>
    <col min="5894" max="5899" width="11.44140625" style="2" customWidth="1"/>
    <col min="5900" max="5900" width="15" style="2" customWidth="1"/>
    <col min="5901" max="5901" width="12" style="2" bestFit="1" customWidth="1"/>
    <col min="5902" max="5902" width="22.5546875" style="2" customWidth="1"/>
    <col min="5903" max="5903" width="13.88671875" style="2" bestFit="1" customWidth="1"/>
    <col min="5904" max="6141" width="9.109375" style="2"/>
    <col min="6142" max="6142" width="5.33203125" style="2" customWidth="1"/>
    <col min="6143" max="6143" width="34.44140625" style="2" customWidth="1"/>
    <col min="6144" max="6144" width="12.5546875" style="2" customWidth="1"/>
    <col min="6145" max="6149" width="11.109375" style="2" bestFit="1" customWidth="1"/>
    <col min="6150" max="6155" width="11.44140625" style="2" customWidth="1"/>
    <col min="6156" max="6156" width="15" style="2" customWidth="1"/>
    <col min="6157" max="6157" width="12" style="2" bestFit="1" customWidth="1"/>
    <col min="6158" max="6158" width="22.5546875" style="2" customWidth="1"/>
    <col min="6159" max="6159" width="13.88671875" style="2" bestFit="1" customWidth="1"/>
    <col min="6160" max="6397" width="9.109375" style="2"/>
    <col min="6398" max="6398" width="5.33203125" style="2" customWidth="1"/>
    <col min="6399" max="6399" width="34.44140625" style="2" customWidth="1"/>
    <col min="6400" max="6400" width="12.5546875" style="2" customWidth="1"/>
    <col min="6401" max="6405" width="11.109375" style="2" bestFit="1" customWidth="1"/>
    <col min="6406" max="6411" width="11.44140625" style="2" customWidth="1"/>
    <col min="6412" max="6412" width="15" style="2" customWidth="1"/>
    <col min="6413" max="6413" width="12" style="2" bestFit="1" customWidth="1"/>
    <col min="6414" max="6414" width="22.5546875" style="2" customWidth="1"/>
    <col min="6415" max="6415" width="13.88671875" style="2" bestFit="1" customWidth="1"/>
    <col min="6416" max="6653" width="9.109375" style="2"/>
    <col min="6654" max="6654" width="5.33203125" style="2" customWidth="1"/>
    <col min="6655" max="6655" width="34.44140625" style="2" customWidth="1"/>
    <col min="6656" max="6656" width="12.5546875" style="2" customWidth="1"/>
    <col min="6657" max="6661" width="11.109375" style="2" bestFit="1" customWidth="1"/>
    <col min="6662" max="6667" width="11.44140625" style="2" customWidth="1"/>
    <col min="6668" max="6668" width="15" style="2" customWidth="1"/>
    <col min="6669" max="6669" width="12" style="2" bestFit="1" customWidth="1"/>
    <col min="6670" max="6670" width="22.5546875" style="2" customWidth="1"/>
    <col min="6671" max="6671" width="13.88671875" style="2" bestFit="1" customWidth="1"/>
    <col min="6672" max="6909" width="9.109375" style="2"/>
    <col min="6910" max="6910" width="5.33203125" style="2" customWidth="1"/>
    <col min="6911" max="6911" width="34.44140625" style="2" customWidth="1"/>
    <col min="6912" max="6912" width="12.5546875" style="2" customWidth="1"/>
    <col min="6913" max="6917" width="11.109375" style="2" bestFit="1" customWidth="1"/>
    <col min="6918" max="6923" width="11.44140625" style="2" customWidth="1"/>
    <col min="6924" max="6924" width="15" style="2" customWidth="1"/>
    <col min="6925" max="6925" width="12" style="2" bestFit="1" customWidth="1"/>
    <col min="6926" max="6926" width="22.5546875" style="2" customWidth="1"/>
    <col min="6927" max="6927" width="13.88671875" style="2" bestFit="1" customWidth="1"/>
    <col min="6928" max="7165" width="9.109375" style="2"/>
    <col min="7166" max="7166" width="5.33203125" style="2" customWidth="1"/>
    <col min="7167" max="7167" width="34.44140625" style="2" customWidth="1"/>
    <col min="7168" max="7168" width="12.5546875" style="2" customWidth="1"/>
    <col min="7169" max="7173" width="11.109375" style="2" bestFit="1" customWidth="1"/>
    <col min="7174" max="7179" width="11.44140625" style="2" customWidth="1"/>
    <col min="7180" max="7180" width="15" style="2" customWidth="1"/>
    <col min="7181" max="7181" width="12" style="2" bestFit="1" customWidth="1"/>
    <col min="7182" max="7182" width="22.5546875" style="2" customWidth="1"/>
    <col min="7183" max="7183" width="13.88671875" style="2" bestFit="1" customWidth="1"/>
    <col min="7184" max="7421" width="9.109375" style="2"/>
    <col min="7422" max="7422" width="5.33203125" style="2" customWidth="1"/>
    <col min="7423" max="7423" width="34.44140625" style="2" customWidth="1"/>
    <col min="7424" max="7424" width="12.5546875" style="2" customWidth="1"/>
    <col min="7425" max="7429" width="11.109375" style="2" bestFit="1" customWidth="1"/>
    <col min="7430" max="7435" width="11.44140625" style="2" customWidth="1"/>
    <col min="7436" max="7436" width="15" style="2" customWidth="1"/>
    <col min="7437" max="7437" width="12" style="2" bestFit="1" customWidth="1"/>
    <col min="7438" max="7438" width="22.5546875" style="2" customWidth="1"/>
    <col min="7439" max="7439" width="13.88671875" style="2" bestFit="1" customWidth="1"/>
    <col min="7440" max="7677" width="9.109375" style="2"/>
    <col min="7678" max="7678" width="5.33203125" style="2" customWidth="1"/>
    <col min="7679" max="7679" width="34.44140625" style="2" customWidth="1"/>
    <col min="7680" max="7680" width="12.5546875" style="2" customWidth="1"/>
    <col min="7681" max="7685" width="11.109375" style="2" bestFit="1" customWidth="1"/>
    <col min="7686" max="7691" width="11.44140625" style="2" customWidth="1"/>
    <col min="7692" max="7692" width="15" style="2" customWidth="1"/>
    <col min="7693" max="7693" width="12" style="2" bestFit="1" customWidth="1"/>
    <col min="7694" max="7694" width="22.5546875" style="2" customWidth="1"/>
    <col min="7695" max="7695" width="13.88671875" style="2" bestFit="1" customWidth="1"/>
    <col min="7696" max="7933" width="9.109375" style="2"/>
    <col min="7934" max="7934" width="5.33203125" style="2" customWidth="1"/>
    <col min="7935" max="7935" width="34.44140625" style="2" customWidth="1"/>
    <col min="7936" max="7936" width="12.5546875" style="2" customWidth="1"/>
    <col min="7937" max="7941" width="11.109375" style="2" bestFit="1" customWidth="1"/>
    <col min="7942" max="7947" width="11.44140625" style="2" customWidth="1"/>
    <col min="7948" max="7948" width="15" style="2" customWidth="1"/>
    <col min="7949" max="7949" width="12" style="2" bestFit="1" customWidth="1"/>
    <col min="7950" max="7950" width="22.5546875" style="2" customWidth="1"/>
    <col min="7951" max="7951" width="13.88671875" style="2" bestFit="1" customWidth="1"/>
    <col min="7952" max="8189" width="9.109375" style="2"/>
    <col min="8190" max="8190" width="5.33203125" style="2" customWidth="1"/>
    <col min="8191" max="8191" width="34.44140625" style="2" customWidth="1"/>
    <col min="8192" max="8192" width="12.5546875" style="2" customWidth="1"/>
    <col min="8193" max="8197" width="11.109375" style="2" bestFit="1" customWidth="1"/>
    <col min="8198" max="8203" width="11.44140625" style="2" customWidth="1"/>
    <col min="8204" max="8204" width="15" style="2" customWidth="1"/>
    <col min="8205" max="8205" width="12" style="2" bestFit="1" customWidth="1"/>
    <col min="8206" max="8206" width="22.5546875" style="2" customWidth="1"/>
    <col min="8207" max="8207" width="13.88671875" style="2" bestFit="1" customWidth="1"/>
    <col min="8208" max="8445" width="9.109375" style="2"/>
    <col min="8446" max="8446" width="5.33203125" style="2" customWidth="1"/>
    <col min="8447" max="8447" width="34.44140625" style="2" customWidth="1"/>
    <col min="8448" max="8448" width="12.5546875" style="2" customWidth="1"/>
    <col min="8449" max="8453" width="11.109375" style="2" bestFit="1" customWidth="1"/>
    <col min="8454" max="8459" width="11.44140625" style="2" customWidth="1"/>
    <col min="8460" max="8460" width="15" style="2" customWidth="1"/>
    <col min="8461" max="8461" width="12" style="2" bestFit="1" customWidth="1"/>
    <col min="8462" max="8462" width="22.5546875" style="2" customWidth="1"/>
    <col min="8463" max="8463" width="13.88671875" style="2" bestFit="1" customWidth="1"/>
    <col min="8464" max="8701" width="9.109375" style="2"/>
    <col min="8702" max="8702" width="5.33203125" style="2" customWidth="1"/>
    <col min="8703" max="8703" width="34.44140625" style="2" customWidth="1"/>
    <col min="8704" max="8704" width="12.5546875" style="2" customWidth="1"/>
    <col min="8705" max="8709" width="11.109375" style="2" bestFit="1" customWidth="1"/>
    <col min="8710" max="8715" width="11.44140625" style="2" customWidth="1"/>
    <col min="8716" max="8716" width="15" style="2" customWidth="1"/>
    <col min="8717" max="8717" width="12" style="2" bestFit="1" customWidth="1"/>
    <col min="8718" max="8718" width="22.5546875" style="2" customWidth="1"/>
    <col min="8719" max="8719" width="13.88671875" style="2" bestFit="1" customWidth="1"/>
    <col min="8720" max="8957" width="9.109375" style="2"/>
    <col min="8958" max="8958" width="5.33203125" style="2" customWidth="1"/>
    <col min="8959" max="8959" width="34.44140625" style="2" customWidth="1"/>
    <col min="8960" max="8960" width="12.5546875" style="2" customWidth="1"/>
    <col min="8961" max="8965" width="11.109375" style="2" bestFit="1" customWidth="1"/>
    <col min="8966" max="8971" width="11.44140625" style="2" customWidth="1"/>
    <col min="8972" max="8972" width="15" style="2" customWidth="1"/>
    <col min="8973" max="8973" width="12" style="2" bestFit="1" customWidth="1"/>
    <col min="8974" max="8974" width="22.5546875" style="2" customWidth="1"/>
    <col min="8975" max="8975" width="13.88671875" style="2" bestFit="1" customWidth="1"/>
    <col min="8976" max="9213" width="9.109375" style="2"/>
    <col min="9214" max="9214" width="5.33203125" style="2" customWidth="1"/>
    <col min="9215" max="9215" width="34.44140625" style="2" customWidth="1"/>
    <col min="9216" max="9216" width="12.5546875" style="2" customWidth="1"/>
    <col min="9217" max="9221" width="11.109375" style="2" bestFit="1" customWidth="1"/>
    <col min="9222" max="9227" width="11.44140625" style="2" customWidth="1"/>
    <col min="9228" max="9228" width="15" style="2" customWidth="1"/>
    <col min="9229" max="9229" width="12" style="2" bestFit="1" customWidth="1"/>
    <col min="9230" max="9230" width="22.5546875" style="2" customWidth="1"/>
    <col min="9231" max="9231" width="13.88671875" style="2" bestFit="1" customWidth="1"/>
    <col min="9232" max="9469" width="9.109375" style="2"/>
    <col min="9470" max="9470" width="5.33203125" style="2" customWidth="1"/>
    <col min="9471" max="9471" width="34.44140625" style="2" customWidth="1"/>
    <col min="9472" max="9472" width="12.5546875" style="2" customWidth="1"/>
    <col min="9473" max="9477" width="11.109375" style="2" bestFit="1" customWidth="1"/>
    <col min="9478" max="9483" width="11.44140625" style="2" customWidth="1"/>
    <col min="9484" max="9484" width="15" style="2" customWidth="1"/>
    <col min="9485" max="9485" width="12" style="2" bestFit="1" customWidth="1"/>
    <col min="9486" max="9486" width="22.5546875" style="2" customWidth="1"/>
    <col min="9487" max="9487" width="13.88671875" style="2" bestFit="1" customWidth="1"/>
    <col min="9488" max="9725" width="9.109375" style="2"/>
    <col min="9726" max="9726" width="5.33203125" style="2" customWidth="1"/>
    <col min="9727" max="9727" width="34.44140625" style="2" customWidth="1"/>
    <col min="9728" max="9728" width="12.5546875" style="2" customWidth="1"/>
    <col min="9729" max="9733" width="11.109375" style="2" bestFit="1" customWidth="1"/>
    <col min="9734" max="9739" width="11.44140625" style="2" customWidth="1"/>
    <col min="9740" max="9740" width="15" style="2" customWidth="1"/>
    <col min="9741" max="9741" width="12" style="2" bestFit="1" customWidth="1"/>
    <col min="9742" max="9742" width="22.5546875" style="2" customWidth="1"/>
    <col min="9743" max="9743" width="13.88671875" style="2" bestFit="1" customWidth="1"/>
    <col min="9744" max="9981" width="9.109375" style="2"/>
    <col min="9982" max="9982" width="5.33203125" style="2" customWidth="1"/>
    <col min="9983" max="9983" width="34.44140625" style="2" customWidth="1"/>
    <col min="9984" max="9984" width="12.5546875" style="2" customWidth="1"/>
    <col min="9985" max="9989" width="11.109375" style="2" bestFit="1" customWidth="1"/>
    <col min="9990" max="9995" width="11.44140625" style="2" customWidth="1"/>
    <col min="9996" max="9996" width="15" style="2" customWidth="1"/>
    <col min="9997" max="9997" width="12" style="2" bestFit="1" customWidth="1"/>
    <col min="9998" max="9998" width="22.5546875" style="2" customWidth="1"/>
    <col min="9999" max="9999" width="13.88671875" style="2" bestFit="1" customWidth="1"/>
    <col min="10000" max="10237" width="9.109375" style="2"/>
    <col min="10238" max="10238" width="5.33203125" style="2" customWidth="1"/>
    <col min="10239" max="10239" width="34.44140625" style="2" customWidth="1"/>
    <col min="10240" max="10240" width="12.5546875" style="2" customWidth="1"/>
    <col min="10241" max="10245" width="11.109375" style="2" bestFit="1" customWidth="1"/>
    <col min="10246" max="10251" width="11.44140625" style="2" customWidth="1"/>
    <col min="10252" max="10252" width="15" style="2" customWidth="1"/>
    <col min="10253" max="10253" width="12" style="2" bestFit="1" customWidth="1"/>
    <col min="10254" max="10254" width="22.5546875" style="2" customWidth="1"/>
    <col min="10255" max="10255" width="13.88671875" style="2" bestFit="1" customWidth="1"/>
    <col min="10256" max="10493" width="9.109375" style="2"/>
    <col min="10494" max="10494" width="5.33203125" style="2" customWidth="1"/>
    <col min="10495" max="10495" width="34.44140625" style="2" customWidth="1"/>
    <col min="10496" max="10496" width="12.5546875" style="2" customWidth="1"/>
    <col min="10497" max="10501" width="11.109375" style="2" bestFit="1" customWidth="1"/>
    <col min="10502" max="10507" width="11.44140625" style="2" customWidth="1"/>
    <col min="10508" max="10508" width="15" style="2" customWidth="1"/>
    <col min="10509" max="10509" width="12" style="2" bestFit="1" customWidth="1"/>
    <col min="10510" max="10510" width="22.5546875" style="2" customWidth="1"/>
    <col min="10511" max="10511" width="13.88671875" style="2" bestFit="1" customWidth="1"/>
    <col min="10512" max="10749" width="9.109375" style="2"/>
    <col min="10750" max="10750" width="5.33203125" style="2" customWidth="1"/>
    <col min="10751" max="10751" width="34.44140625" style="2" customWidth="1"/>
    <col min="10752" max="10752" width="12.5546875" style="2" customWidth="1"/>
    <col min="10753" max="10757" width="11.109375" style="2" bestFit="1" customWidth="1"/>
    <col min="10758" max="10763" width="11.44140625" style="2" customWidth="1"/>
    <col min="10764" max="10764" width="15" style="2" customWidth="1"/>
    <col min="10765" max="10765" width="12" style="2" bestFit="1" customWidth="1"/>
    <col min="10766" max="10766" width="22.5546875" style="2" customWidth="1"/>
    <col min="10767" max="10767" width="13.88671875" style="2" bestFit="1" customWidth="1"/>
    <col min="10768" max="11005" width="9.109375" style="2"/>
    <col min="11006" max="11006" width="5.33203125" style="2" customWidth="1"/>
    <col min="11007" max="11007" width="34.44140625" style="2" customWidth="1"/>
    <col min="11008" max="11008" width="12.5546875" style="2" customWidth="1"/>
    <col min="11009" max="11013" width="11.109375" style="2" bestFit="1" customWidth="1"/>
    <col min="11014" max="11019" width="11.44140625" style="2" customWidth="1"/>
    <col min="11020" max="11020" width="15" style="2" customWidth="1"/>
    <col min="11021" max="11021" width="12" style="2" bestFit="1" customWidth="1"/>
    <col min="11022" max="11022" width="22.5546875" style="2" customWidth="1"/>
    <col min="11023" max="11023" width="13.88671875" style="2" bestFit="1" customWidth="1"/>
    <col min="11024" max="11261" width="9.109375" style="2"/>
    <col min="11262" max="11262" width="5.33203125" style="2" customWidth="1"/>
    <col min="11263" max="11263" width="34.44140625" style="2" customWidth="1"/>
    <col min="11264" max="11264" width="12.5546875" style="2" customWidth="1"/>
    <col min="11265" max="11269" width="11.109375" style="2" bestFit="1" customWidth="1"/>
    <col min="11270" max="11275" width="11.44140625" style="2" customWidth="1"/>
    <col min="11276" max="11276" width="15" style="2" customWidth="1"/>
    <col min="11277" max="11277" width="12" style="2" bestFit="1" customWidth="1"/>
    <col min="11278" max="11278" width="22.5546875" style="2" customWidth="1"/>
    <col min="11279" max="11279" width="13.88671875" style="2" bestFit="1" customWidth="1"/>
    <col min="11280" max="11517" width="9.109375" style="2"/>
    <col min="11518" max="11518" width="5.33203125" style="2" customWidth="1"/>
    <col min="11519" max="11519" width="34.44140625" style="2" customWidth="1"/>
    <col min="11520" max="11520" width="12.5546875" style="2" customWidth="1"/>
    <col min="11521" max="11525" width="11.109375" style="2" bestFit="1" customWidth="1"/>
    <col min="11526" max="11531" width="11.44140625" style="2" customWidth="1"/>
    <col min="11532" max="11532" width="15" style="2" customWidth="1"/>
    <col min="11533" max="11533" width="12" style="2" bestFit="1" customWidth="1"/>
    <col min="11534" max="11534" width="22.5546875" style="2" customWidth="1"/>
    <col min="11535" max="11535" width="13.88671875" style="2" bestFit="1" customWidth="1"/>
    <col min="11536" max="11773" width="9.109375" style="2"/>
    <col min="11774" max="11774" width="5.33203125" style="2" customWidth="1"/>
    <col min="11775" max="11775" width="34.44140625" style="2" customWidth="1"/>
    <col min="11776" max="11776" width="12.5546875" style="2" customWidth="1"/>
    <col min="11777" max="11781" width="11.109375" style="2" bestFit="1" customWidth="1"/>
    <col min="11782" max="11787" width="11.44140625" style="2" customWidth="1"/>
    <col min="11788" max="11788" width="15" style="2" customWidth="1"/>
    <col min="11789" max="11789" width="12" style="2" bestFit="1" customWidth="1"/>
    <col min="11790" max="11790" width="22.5546875" style="2" customWidth="1"/>
    <col min="11791" max="11791" width="13.88671875" style="2" bestFit="1" customWidth="1"/>
    <col min="11792" max="12029" width="9.109375" style="2"/>
    <col min="12030" max="12030" width="5.33203125" style="2" customWidth="1"/>
    <col min="12031" max="12031" width="34.44140625" style="2" customWidth="1"/>
    <col min="12032" max="12032" width="12.5546875" style="2" customWidth="1"/>
    <col min="12033" max="12037" width="11.109375" style="2" bestFit="1" customWidth="1"/>
    <col min="12038" max="12043" width="11.44140625" style="2" customWidth="1"/>
    <col min="12044" max="12044" width="15" style="2" customWidth="1"/>
    <col min="12045" max="12045" width="12" style="2" bestFit="1" customWidth="1"/>
    <col min="12046" max="12046" width="22.5546875" style="2" customWidth="1"/>
    <col min="12047" max="12047" width="13.88671875" style="2" bestFit="1" customWidth="1"/>
    <col min="12048" max="12285" width="9.109375" style="2"/>
    <col min="12286" max="12286" width="5.33203125" style="2" customWidth="1"/>
    <col min="12287" max="12287" width="34.44140625" style="2" customWidth="1"/>
    <col min="12288" max="12288" width="12.5546875" style="2" customWidth="1"/>
    <col min="12289" max="12293" width="11.109375" style="2" bestFit="1" customWidth="1"/>
    <col min="12294" max="12299" width="11.44140625" style="2" customWidth="1"/>
    <col min="12300" max="12300" width="15" style="2" customWidth="1"/>
    <col min="12301" max="12301" width="12" style="2" bestFit="1" customWidth="1"/>
    <col min="12302" max="12302" width="22.5546875" style="2" customWidth="1"/>
    <col min="12303" max="12303" width="13.88671875" style="2" bestFit="1" customWidth="1"/>
    <col min="12304" max="12541" width="9.109375" style="2"/>
    <col min="12542" max="12542" width="5.33203125" style="2" customWidth="1"/>
    <col min="12543" max="12543" width="34.44140625" style="2" customWidth="1"/>
    <col min="12544" max="12544" width="12.5546875" style="2" customWidth="1"/>
    <col min="12545" max="12549" width="11.109375" style="2" bestFit="1" customWidth="1"/>
    <col min="12550" max="12555" width="11.44140625" style="2" customWidth="1"/>
    <col min="12556" max="12556" width="15" style="2" customWidth="1"/>
    <col min="12557" max="12557" width="12" style="2" bestFit="1" customWidth="1"/>
    <col min="12558" max="12558" width="22.5546875" style="2" customWidth="1"/>
    <col min="12559" max="12559" width="13.88671875" style="2" bestFit="1" customWidth="1"/>
    <col min="12560" max="12797" width="9.109375" style="2"/>
    <col min="12798" max="12798" width="5.33203125" style="2" customWidth="1"/>
    <col min="12799" max="12799" width="34.44140625" style="2" customWidth="1"/>
    <col min="12800" max="12800" width="12.5546875" style="2" customWidth="1"/>
    <col min="12801" max="12805" width="11.109375" style="2" bestFit="1" customWidth="1"/>
    <col min="12806" max="12811" width="11.44140625" style="2" customWidth="1"/>
    <col min="12812" max="12812" width="15" style="2" customWidth="1"/>
    <col min="12813" max="12813" width="12" style="2" bestFit="1" customWidth="1"/>
    <col min="12814" max="12814" width="22.5546875" style="2" customWidth="1"/>
    <col min="12815" max="12815" width="13.88671875" style="2" bestFit="1" customWidth="1"/>
    <col min="12816" max="13053" width="9.109375" style="2"/>
    <col min="13054" max="13054" width="5.33203125" style="2" customWidth="1"/>
    <col min="13055" max="13055" width="34.44140625" style="2" customWidth="1"/>
    <col min="13056" max="13056" width="12.5546875" style="2" customWidth="1"/>
    <col min="13057" max="13061" width="11.109375" style="2" bestFit="1" customWidth="1"/>
    <col min="13062" max="13067" width="11.44140625" style="2" customWidth="1"/>
    <col min="13068" max="13068" width="15" style="2" customWidth="1"/>
    <col min="13069" max="13069" width="12" style="2" bestFit="1" customWidth="1"/>
    <col min="13070" max="13070" width="22.5546875" style="2" customWidth="1"/>
    <col min="13071" max="13071" width="13.88671875" style="2" bestFit="1" customWidth="1"/>
    <col min="13072" max="13309" width="9.109375" style="2"/>
    <col min="13310" max="13310" width="5.33203125" style="2" customWidth="1"/>
    <col min="13311" max="13311" width="34.44140625" style="2" customWidth="1"/>
    <col min="13312" max="13312" width="12.5546875" style="2" customWidth="1"/>
    <col min="13313" max="13317" width="11.109375" style="2" bestFit="1" customWidth="1"/>
    <col min="13318" max="13323" width="11.44140625" style="2" customWidth="1"/>
    <col min="13324" max="13324" width="15" style="2" customWidth="1"/>
    <col min="13325" max="13325" width="12" style="2" bestFit="1" customWidth="1"/>
    <col min="13326" max="13326" width="22.5546875" style="2" customWidth="1"/>
    <col min="13327" max="13327" width="13.88671875" style="2" bestFit="1" customWidth="1"/>
    <col min="13328" max="13565" width="9.109375" style="2"/>
    <col min="13566" max="13566" width="5.33203125" style="2" customWidth="1"/>
    <col min="13567" max="13567" width="34.44140625" style="2" customWidth="1"/>
    <col min="13568" max="13568" width="12.5546875" style="2" customWidth="1"/>
    <col min="13569" max="13573" width="11.109375" style="2" bestFit="1" customWidth="1"/>
    <col min="13574" max="13579" width="11.44140625" style="2" customWidth="1"/>
    <col min="13580" max="13580" width="15" style="2" customWidth="1"/>
    <col min="13581" max="13581" width="12" style="2" bestFit="1" customWidth="1"/>
    <col min="13582" max="13582" width="22.5546875" style="2" customWidth="1"/>
    <col min="13583" max="13583" width="13.88671875" style="2" bestFit="1" customWidth="1"/>
    <col min="13584" max="13821" width="9.109375" style="2"/>
    <col min="13822" max="13822" width="5.33203125" style="2" customWidth="1"/>
    <col min="13823" max="13823" width="34.44140625" style="2" customWidth="1"/>
    <col min="13824" max="13824" width="12.5546875" style="2" customWidth="1"/>
    <col min="13825" max="13829" width="11.109375" style="2" bestFit="1" customWidth="1"/>
    <col min="13830" max="13835" width="11.44140625" style="2" customWidth="1"/>
    <col min="13836" max="13836" width="15" style="2" customWidth="1"/>
    <col min="13837" max="13837" width="12" style="2" bestFit="1" customWidth="1"/>
    <col min="13838" max="13838" width="22.5546875" style="2" customWidth="1"/>
    <col min="13839" max="13839" width="13.88671875" style="2" bestFit="1" customWidth="1"/>
    <col min="13840" max="14077" width="9.109375" style="2"/>
    <col min="14078" max="14078" width="5.33203125" style="2" customWidth="1"/>
    <col min="14079" max="14079" width="34.44140625" style="2" customWidth="1"/>
    <col min="14080" max="14080" width="12.5546875" style="2" customWidth="1"/>
    <col min="14081" max="14085" width="11.109375" style="2" bestFit="1" customWidth="1"/>
    <col min="14086" max="14091" width="11.44140625" style="2" customWidth="1"/>
    <col min="14092" max="14092" width="15" style="2" customWidth="1"/>
    <col min="14093" max="14093" width="12" style="2" bestFit="1" customWidth="1"/>
    <col min="14094" max="14094" width="22.5546875" style="2" customWidth="1"/>
    <col min="14095" max="14095" width="13.88671875" style="2" bestFit="1" customWidth="1"/>
    <col min="14096" max="14333" width="9.109375" style="2"/>
    <col min="14334" max="14334" width="5.33203125" style="2" customWidth="1"/>
    <col min="14335" max="14335" width="34.44140625" style="2" customWidth="1"/>
    <col min="14336" max="14336" width="12.5546875" style="2" customWidth="1"/>
    <col min="14337" max="14341" width="11.109375" style="2" bestFit="1" customWidth="1"/>
    <col min="14342" max="14347" width="11.44140625" style="2" customWidth="1"/>
    <col min="14348" max="14348" width="15" style="2" customWidth="1"/>
    <col min="14349" max="14349" width="12" style="2" bestFit="1" customWidth="1"/>
    <col min="14350" max="14350" width="22.5546875" style="2" customWidth="1"/>
    <col min="14351" max="14351" width="13.88671875" style="2" bestFit="1" customWidth="1"/>
    <col min="14352" max="14589" width="9.109375" style="2"/>
    <col min="14590" max="14590" width="5.33203125" style="2" customWidth="1"/>
    <col min="14591" max="14591" width="34.44140625" style="2" customWidth="1"/>
    <col min="14592" max="14592" width="12.5546875" style="2" customWidth="1"/>
    <col min="14593" max="14597" width="11.109375" style="2" bestFit="1" customWidth="1"/>
    <col min="14598" max="14603" width="11.44140625" style="2" customWidth="1"/>
    <col min="14604" max="14604" width="15" style="2" customWidth="1"/>
    <col min="14605" max="14605" width="12" style="2" bestFit="1" customWidth="1"/>
    <col min="14606" max="14606" width="22.5546875" style="2" customWidth="1"/>
    <col min="14607" max="14607" width="13.88671875" style="2" bestFit="1" customWidth="1"/>
    <col min="14608" max="14845" width="9.109375" style="2"/>
    <col min="14846" max="14846" width="5.33203125" style="2" customWidth="1"/>
    <col min="14847" max="14847" width="34.44140625" style="2" customWidth="1"/>
    <col min="14848" max="14848" width="12.5546875" style="2" customWidth="1"/>
    <col min="14849" max="14853" width="11.109375" style="2" bestFit="1" customWidth="1"/>
    <col min="14854" max="14859" width="11.44140625" style="2" customWidth="1"/>
    <col min="14860" max="14860" width="15" style="2" customWidth="1"/>
    <col min="14861" max="14861" width="12" style="2" bestFit="1" customWidth="1"/>
    <col min="14862" max="14862" width="22.5546875" style="2" customWidth="1"/>
    <col min="14863" max="14863" width="13.88671875" style="2" bestFit="1" customWidth="1"/>
    <col min="14864" max="15101" width="9.109375" style="2"/>
    <col min="15102" max="15102" width="5.33203125" style="2" customWidth="1"/>
    <col min="15103" max="15103" width="34.44140625" style="2" customWidth="1"/>
    <col min="15104" max="15104" width="12.5546875" style="2" customWidth="1"/>
    <col min="15105" max="15109" width="11.109375" style="2" bestFit="1" customWidth="1"/>
    <col min="15110" max="15115" width="11.44140625" style="2" customWidth="1"/>
    <col min="15116" max="15116" width="15" style="2" customWidth="1"/>
    <col min="15117" max="15117" width="12" style="2" bestFit="1" customWidth="1"/>
    <col min="15118" max="15118" width="22.5546875" style="2" customWidth="1"/>
    <col min="15119" max="15119" width="13.88671875" style="2" bestFit="1" customWidth="1"/>
    <col min="15120" max="15357" width="9.109375" style="2"/>
    <col min="15358" max="15358" width="5.33203125" style="2" customWidth="1"/>
    <col min="15359" max="15359" width="34.44140625" style="2" customWidth="1"/>
    <col min="15360" max="15360" width="12.5546875" style="2" customWidth="1"/>
    <col min="15361" max="15365" width="11.109375" style="2" bestFit="1" customWidth="1"/>
    <col min="15366" max="15371" width="11.44140625" style="2" customWidth="1"/>
    <col min="15372" max="15372" width="15" style="2" customWidth="1"/>
    <col min="15373" max="15373" width="12" style="2" bestFit="1" customWidth="1"/>
    <col min="15374" max="15374" width="22.5546875" style="2" customWidth="1"/>
    <col min="15375" max="15375" width="13.88671875" style="2" bestFit="1" customWidth="1"/>
    <col min="15376" max="15613" width="9.109375" style="2"/>
    <col min="15614" max="15614" width="5.33203125" style="2" customWidth="1"/>
    <col min="15615" max="15615" width="34.44140625" style="2" customWidth="1"/>
    <col min="15616" max="15616" width="12.5546875" style="2" customWidth="1"/>
    <col min="15617" max="15621" width="11.109375" style="2" bestFit="1" customWidth="1"/>
    <col min="15622" max="15627" width="11.44140625" style="2" customWidth="1"/>
    <col min="15628" max="15628" width="15" style="2" customWidth="1"/>
    <col min="15629" max="15629" width="12" style="2" bestFit="1" customWidth="1"/>
    <col min="15630" max="15630" width="22.5546875" style="2" customWidth="1"/>
    <col min="15631" max="15631" width="13.88671875" style="2" bestFit="1" customWidth="1"/>
    <col min="15632" max="15869" width="9.109375" style="2"/>
    <col min="15870" max="15870" width="5.33203125" style="2" customWidth="1"/>
    <col min="15871" max="15871" width="34.44140625" style="2" customWidth="1"/>
    <col min="15872" max="15872" width="12.5546875" style="2" customWidth="1"/>
    <col min="15873" max="15877" width="11.109375" style="2" bestFit="1" customWidth="1"/>
    <col min="15878" max="15883" width="11.44140625" style="2" customWidth="1"/>
    <col min="15884" max="15884" width="15" style="2" customWidth="1"/>
    <col min="15885" max="15885" width="12" style="2" bestFit="1" customWidth="1"/>
    <col min="15886" max="15886" width="22.5546875" style="2" customWidth="1"/>
    <col min="15887" max="15887" width="13.88671875" style="2" bestFit="1" customWidth="1"/>
    <col min="15888" max="16125" width="9.109375" style="2"/>
    <col min="16126" max="16126" width="5.33203125" style="2" customWidth="1"/>
    <col min="16127" max="16127" width="34.44140625" style="2" customWidth="1"/>
    <col min="16128" max="16128" width="12.5546875" style="2" customWidth="1"/>
    <col min="16129" max="16133" width="11.109375" style="2" bestFit="1" customWidth="1"/>
    <col min="16134" max="16139" width="11.44140625" style="2" customWidth="1"/>
    <col min="16140" max="16140" width="15" style="2" customWidth="1"/>
    <col min="16141" max="16141" width="12" style="2" bestFit="1" customWidth="1"/>
    <col min="16142" max="16142" width="22.5546875" style="2" customWidth="1"/>
    <col min="16143" max="16143" width="13.88671875" style="2" bestFit="1" customWidth="1"/>
    <col min="16144" max="16381" width="9.109375" style="2"/>
    <col min="16382" max="16384" width="9.109375" style="2" customWidth="1"/>
  </cols>
  <sheetData>
    <row r="1" spans="1:15" s="1" customFormat="1" ht="14.4" x14ac:dyDescent="0.3">
      <c r="A1" s="35" t="s">
        <v>126</v>
      </c>
      <c r="B1" s="31" t="s">
        <v>127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  <c r="I1" s="3" t="s">
        <v>26</v>
      </c>
      <c r="J1" s="3" t="s">
        <v>27</v>
      </c>
      <c r="K1" s="6" t="s">
        <v>28</v>
      </c>
      <c r="L1" s="3" t="s">
        <v>29</v>
      </c>
      <c r="M1" s="3" t="s">
        <v>96</v>
      </c>
      <c r="N1" s="3" t="s">
        <v>97</v>
      </c>
      <c r="O1" s="32" t="s">
        <v>128</v>
      </c>
    </row>
    <row r="2" spans="1:15" ht="14.4" x14ac:dyDescent="0.3">
      <c r="A2" s="36" t="s">
        <v>122</v>
      </c>
      <c r="B2" s="26" t="s">
        <v>54</v>
      </c>
      <c r="C2" s="4">
        <v>5346</v>
      </c>
      <c r="D2" s="4">
        <v>2496</v>
      </c>
      <c r="E2" s="4">
        <v>2070</v>
      </c>
      <c r="F2" s="4">
        <v>3420</v>
      </c>
      <c r="G2" s="4">
        <v>4674</v>
      </c>
      <c r="H2" s="4">
        <v>6199.2</v>
      </c>
      <c r="I2" s="4">
        <v>3078</v>
      </c>
      <c r="J2" s="4">
        <v>4374</v>
      </c>
      <c r="K2" s="4">
        <v>4949.6000000000004</v>
      </c>
      <c r="L2" s="5">
        <v>5500</v>
      </c>
      <c r="M2" s="5">
        <v>3474.9</v>
      </c>
      <c r="N2" s="5">
        <v>4318.6909090909094</v>
      </c>
      <c r="O2" s="21">
        <f>SUM(C2:N2)</f>
        <v>49900.390909090915</v>
      </c>
    </row>
    <row r="3" spans="1:15" ht="14.4" x14ac:dyDescent="0.3">
      <c r="A3" s="36" t="s">
        <v>121</v>
      </c>
      <c r="B3" s="26" t="s">
        <v>55</v>
      </c>
      <c r="C3" s="4">
        <v>112.5</v>
      </c>
      <c r="D3" s="4">
        <v>384</v>
      </c>
      <c r="E3" s="4">
        <v>540</v>
      </c>
      <c r="F3" s="4">
        <v>180</v>
      </c>
      <c r="G3" s="4">
        <v>344.4</v>
      </c>
      <c r="H3" s="4">
        <v>738</v>
      </c>
      <c r="I3" s="4">
        <v>480.6</v>
      </c>
      <c r="J3" s="4">
        <v>734.4</v>
      </c>
      <c r="K3" s="4">
        <v>524.4</v>
      </c>
      <c r="L3" s="4">
        <v>1073.6000000000001</v>
      </c>
      <c r="M3" s="4">
        <v>1419</v>
      </c>
      <c r="N3" s="4">
        <v>653.67272727272734</v>
      </c>
      <c r="O3" s="21">
        <f t="shared" ref="O3:O50" si="0">SUM(C3:N3)</f>
        <v>7184.5727272727281</v>
      </c>
    </row>
    <row r="4" spans="1:15" ht="14.4" x14ac:dyDescent="0.3">
      <c r="A4" s="36" t="s">
        <v>121</v>
      </c>
      <c r="B4" s="26" t="s">
        <v>56</v>
      </c>
      <c r="C4" s="4">
        <v>113643</v>
      </c>
      <c r="D4" s="4">
        <v>59114.647500000006</v>
      </c>
      <c r="E4" s="4">
        <v>85632.794999999984</v>
      </c>
      <c r="F4" s="4">
        <v>127770.75</v>
      </c>
      <c r="G4" s="4">
        <v>164177.44</v>
      </c>
      <c r="H4" s="4">
        <v>226357.6</v>
      </c>
      <c r="I4" s="4">
        <v>179860</v>
      </c>
      <c r="J4" s="4">
        <v>287497.69999999995</v>
      </c>
      <c r="K4" s="4">
        <v>277552.86000000004</v>
      </c>
      <c r="L4" s="4">
        <v>170107</v>
      </c>
      <c r="M4" s="4">
        <v>125209.125</v>
      </c>
      <c r="N4" s="4">
        <v>162603.31818181821</v>
      </c>
      <c r="O4" s="21">
        <f t="shared" si="0"/>
        <v>1979526.2356818183</v>
      </c>
    </row>
    <row r="5" spans="1:15" ht="14.4" x14ac:dyDescent="0.3">
      <c r="A5" s="36" t="s">
        <v>121</v>
      </c>
      <c r="B5" s="26" t="s">
        <v>57</v>
      </c>
      <c r="C5" s="4">
        <v>3198</v>
      </c>
      <c r="D5" s="4">
        <v>2627</v>
      </c>
      <c r="E5" s="4">
        <v>1476</v>
      </c>
      <c r="F5" s="4">
        <v>6273</v>
      </c>
      <c r="G5" s="4">
        <v>3702.4</v>
      </c>
      <c r="H5" s="4">
        <v>9794.4</v>
      </c>
      <c r="I5" s="4">
        <v>2844.6</v>
      </c>
      <c r="J5" s="4">
        <v>4098.5999999999995</v>
      </c>
      <c r="K5" s="4">
        <v>2662.4</v>
      </c>
      <c r="L5" s="4">
        <v>5896.8</v>
      </c>
      <c r="M5" s="4">
        <v>5698.5</v>
      </c>
      <c r="N5" s="4">
        <v>4466.818181818182</v>
      </c>
      <c r="O5" s="21">
        <f t="shared" si="0"/>
        <v>52738.518181818188</v>
      </c>
    </row>
    <row r="6" spans="1:15" ht="14.4" x14ac:dyDescent="0.3">
      <c r="A6" s="36" t="s">
        <v>123</v>
      </c>
      <c r="B6" s="26" t="s">
        <v>58</v>
      </c>
      <c r="C6" s="4">
        <v>725.69999999999993</v>
      </c>
      <c r="D6" s="4">
        <v>497</v>
      </c>
      <c r="E6" s="4">
        <v>1476</v>
      </c>
      <c r="F6" s="4">
        <v>1291.5</v>
      </c>
      <c r="G6" s="4">
        <v>5197.6000000000004</v>
      </c>
      <c r="H6" s="4">
        <v>15582</v>
      </c>
      <c r="I6" s="4">
        <v>4092</v>
      </c>
      <c r="J6" s="4">
        <v>2772</v>
      </c>
      <c r="K6" s="4">
        <v>25866.239999999998</v>
      </c>
      <c r="L6" s="4">
        <v>12107.2</v>
      </c>
      <c r="M6" s="4">
        <v>7090.5</v>
      </c>
      <c r="N6" s="4">
        <v>7525.6727272727267</v>
      </c>
      <c r="O6" s="21">
        <f t="shared" si="0"/>
        <v>84223.41272727272</v>
      </c>
    </row>
    <row r="7" spans="1:15" ht="14.4" x14ac:dyDescent="0.3">
      <c r="A7" s="36" t="s">
        <v>124</v>
      </c>
      <c r="B7" s="26" t="s">
        <v>59</v>
      </c>
      <c r="C7" s="4">
        <v>246</v>
      </c>
      <c r="D7" s="4">
        <v>568</v>
      </c>
      <c r="E7" s="4">
        <v>940.94999999999993</v>
      </c>
      <c r="F7" s="4">
        <v>799.5</v>
      </c>
      <c r="G7" s="4">
        <v>768.95999999999992</v>
      </c>
      <c r="H7" s="4">
        <v>2122.12</v>
      </c>
      <c r="I7" s="4">
        <v>1122</v>
      </c>
      <c r="J7" s="4">
        <v>858</v>
      </c>
      <c r="K7" s="4">
        <v>1745.92</v>
      </c>
      <c r="L7" s="4">
        <v>23458.400000000001</v>
      </c>
      <c r="M7" s="4">
        <v>3697.5</v>
      </c>
      <c r="N7" s="4">
        <v>3650.672727272728</v>
      </c>
      <c r="O7" s="21">
        <f t="shared" si="0"/>
        <v>39978.022727272735</v>
      </c>
    </row>
    <row r="8" spans="1:15" ht="14.4" x14ac:dyDescent="0.3">
      <c r="A8" s="36" t="s">
        <v>124</v>
      </c>
      <c r="B8" s="26" t="s">
        <v>60</v>
      </c>
      <c r="C8" s="4">
        <v>9655.5</v>
      </c>
      <c r="D8" s="4">
        <v>14320.7</v>
      </c>
      <c r="E8" s="4">
        <v>10664.099999999999</v>
      </c>
      <c r="F8" s="4">
        <v>14083.5</v>
      </c>
      <c r="G8" s="4">
        <v>10267.039999999999</v>
      </c>
      <c r="H8" s="4">
        <v>17140.2</v>
      </c>
      <c r="I8" s="4">
        <v>4950</v>
      </c>
      <c r="J8" s="4">
        <v>7920</v>
      </c>
      <c r="K8" s="4">
        <v>9333.7599999999984</v>
      </c>
      <c r="L8" s="5">
        <v>13283.2</v>
      </c>
      <c r="M8" s="5">
        <v>6307.5</v>
      </c>
      <c r="N8" s="5">
        <v>7303.6</v>
      </c>
      <c r="O8" s="21">
        <f t="shared" si="0"/>
        <v>125229.1</v>
      </c>
    </row>
    <row r="9" spans="1:15" ht="14.4" x14ac:dyDescent="0.3">
      <c r="A9" s="36" t="s">
        <v>124</v>
      </c>
      <c r="B9" s="26" t="s">
        <v>61</v>
      </c>
      <c r="C9" s="4">
        <v>922.5</v>
      </c>
      <c r="D9" s="4">
        <v>852</v>
      </c>
      <c r="E9" s="4">
        <v>731.84999999999991</v>
      </c>
      <c r="F9" s="4">
        <v>2091</v>
      </c>
      <c r="G9" s="4">
        <v>2100.4</v>
      </c>
      <c r="H9" s="4">
        <v>3116.4</v>
      </c>
      <c r="I9" s="4">
        <v>1386</v>
      </c>
      <c r="J9" s="4">
        <v>3781.8</v>
      </c>
      <c r="K9" s="4">
        <v>4295.6799999999994</v>
      </c>
      <c r="L9" s="5">
        <v>7968.8</v>
      </c>
      <c r="M9" s="5">
        <v>7786.5</v>
      </c>
      <c r="N9" s="5">
        <v>3539.0727272727272</v>
      </c>
      <c r="O9" s="21">
        <f t="shared" si="0"/>
        <v>38572.002727272731</v>
      </c>
    </row>
    <row r="10" spans="1:15" ht="14.4" x14ac:dyDescent="0.3">
      <c r="A10" s="36" t="s">
        <v>124</v>
      </c>
      <c r="B10" s="26" t="s">
        <v>2</v>
      </c>
      <c r="C10" s="4">
        <v>1230</v>
      </c>
      <c r="D10" s="4">
        <v>1029.5</v>
      </c>
      <c r="E10" s="4">
        <v>1291.5</v>
      </c>
      <c r="F10" s="4">
        <v>5842.5</v>
      </c>
      <c r="G10" s="4">
        <v>5119.28</v>
      </c>
      <c r="H10" s="4">
        <v>3413.2</v>
      </c>
      <c r="I10" s="4">
        <v>3861</v>
      </c>
      <c r="J10" s="4">
        <v>6943.2</v>
      </c>
      <c r="K10" s="4">
        <v>7997.44</v>
      </c>
      <c r="L10" s="5">
        <v>25356.799999999996</v>
      </c>
      <c r="M10" s="5">
        <v>22185</v>
      </c>
      <c r="N10" s="5">
        <v>8742.5636363636368</v>
      </c>
      <c r="O10" s="21">
        <f t="shared" si="0"/>
        <v>93011.983636363642</v>
      </c>
    </row>
    <row r="11" spans="1:15" ht="14.4" x14ac:dyDescent="0.3">
      <c r="A11" s="36" t="s">
        <v>122</v>
      </c>
      <c r="B11" s="26" t="s">
        <v>62</v>
      </c>
      <c r="C11" s="4">
        <v>498</v>
      </c>
      <c r="D11" s="4">
        <v>516</v>
      </c>
      <c r="E11" s="4">
        <v>439.90000000000003</v>
      </c>
      <c r="F11" s="4">
        <v>481.40000000000003</v>
      </c>
      <c r="G11" s="4">
        <v>1032</v>
      </c>
      <c r="H11" s="4">
        <v>1566</v>
      </c>
      <c r="I11" s="4">
        <v>546</v>
      </c>
      <c r="J11" s="4">
        <v>655.20000000000005</v>
      </c>
      <c r="K11" s="4">
        <v>702</v>
      </c>
      <c r="L11" s="5">
        <v>1213.5999999999999</v>
      </c>
      <c r="M11" s="5">
        <v>1176</v>
      </c>
      <c r="N11" s="5">
        <v>872.25454545454556</v>
      </c>
      <c r="O11" s="21">
        <f t="shared" si="0"/>
        <v>9698.3545454545456</v>
      </c>
    </row>
    <row r="12" spans="1:15" ht="14.4" x14ac:dyDescent="0.3">
      <c r="A12" s="36" t="s">
        <v>122</v>
      </c>
      <c r="B12" s="26" t="s">
        <v>63</v>
      </c>
      <c r="C12" s="4">
        <v>1079</v>
      </c>
      <c r="D12" s="4">
        <v>258</v>
      </c>
      <c r="E12" s="4">
        <v>1411</v>
      </c>
      <c r="F12" s="4">
        <v>581</v>
      </c>
      <c r="G12" s="4">
        <v>185.4</v>
      </c>
      <c r="H12" s="4">
        <v>424.36</v>
      </c>
      <c r="I12" s="4">
        <v>407.1</v>
      </c>
      <c r="J12" s="4">
        <v>548.70000000000005</v>
      </c>
      <c r="K12" s="4">
        <v>710.36</v>
      </c>
      <c r="L12" s="5">
        <v>592</v>
      </c>
      <c r="M12" s="5">
        <v>296</v>
      </c>
      <c r="N12" s="5">
        <v>323.09090909090907</v>
      </c>
      <c r="O12" s="21">
        <f t="shared" si="0"/>
        <v>6816.0109090909091</v>
      </c>
    </row>
    <row r="13" spans="1:15" ht="14.4" x14ac:dyDescent="0.3">
      <c r="A13" s="36" t="s">
        <v>122</v>
      </c>
      <c r="B13" s="26" t="s">
        <v>64</v>
      </c>
      <c r="C13" s="4">
        <v>439.90000000000003</v>
      </c>
      <c r="D13" s="4">
        <v>215</v>
      </c>
      <c r="E13" s="4">
        <v>747</v>
      </c>
      <c r="F13" s="4">
        <v>879.80000000000007</v>
      </c>
      <c r="G13" s="4">
        <v>731</v>
      </c>
      <c r="H13" s="4">
        <v>1513.8</v>
      </c>
      <c r="I13" s="4">
        <v>924</v>
      </c>
      <c r="J13" s="4">
        <v>1192.8</v>
      </c>
      <c r="K13" s="4">
        <v>734.5</v>
      </c>
      <c r="L13" s="5">
        <v>1731.6</v>
      </c>
      <c r="M13" s="5">
        <v>1153.6000000000001</v>
      </c>
      <c r="N13" s="5">
        <v>1009.5818181818183</v>
      </c>
      <c r="O13" s="21">
        <f t="shared" si="0"/>
        <v>11272.581818181818</v>
      </c>
    </row>
    <row r="14" spans="1:15" ht="14.4" x14ac:dyDescent="0.3">
      <c r="A14" s="36" t="s">
        <v>122</v>
      </c>
      <c r="B14" s="26" t="s">
        <v>65</v>
      </c>
      <c r="C14" s="4">
        <v>1814.25</v>
      </c>
      <c r="D14" s="4">
        <v>568</v>
      </c>
      <c r="E14" s="4">
        <v>645.75</v>
      </c>
      <c r="F14" s="4">
        <v>861</v>
      </c>
      <c r="G14" s="4">
        <v>925.6</v>
      </c>
      <c r="H14" s="4">
        <v>1113</v>
      </c>
      <c r="I14" s="4">
        <v>858</v>
      </c>
      <c r="J14" s="4">
        <v>1023</v>
      </c>
      <c r="K14" s="4">
        <v>1049.5999999999999</v>
      </c>
      <c r="L14" s="4">
        <v>1769.6</v>
      </c>
      <c r="M14" s="4">
        <v>1609.5</v>
      </c>
      <c r="N14" s="4">
        <v>1170.1090909090908</v>
      </c>
      <c r="O14" s="21">
        <f t="shared" si="0"/>
        <v>13407.409090909092</v>
      </c>
    </row>
    <row r="15" spans="1:15" ht="14.4" x14ac:dyDescent="0.3">
      <c r="A15" s="36" t="s">
        <v>123</v>
      </c>
      <c r="B15" s="26" t="s">
        <v>66</v>
      </c>
      <c r="C15" s="4">
        <v>6660</v>
      </c>
      <c r="D15" s="4">
        <v>5203</v>
      </c>
      <c r="E15" s="4">
        <v>2754</v>
      </c>
      <c r="F15" s="4">
        <v>1620</v>
      </c>
      <c r="G15" s="4">
        <v>2674.6</v>
      </c>
      <c r="H15" s="4">
        <v>4665</v>
      </c>
      <c r="I15" s="4">
        <v>3332.7</v>
      </c>
      <c r="J15" s="4">
        <v>14805</v>
      </c>
      <c r="K15" s="4">
        <v>15953.7</v>
      </c>
      <c r="L15" s="5">
        <v>20802.650000000001</v>
      </c>
      <c r="M15" s="5">
        <v>17613</v>
      </c>
      <c r="N15" s="5">
        <v>10091.90909090909</v>
      </c>
      <c r="O15" s="21">
        <f t="shared" si="0"/>
        <v>106175.55909090908</v>
      </c>
    </row>
    <row r="16" spans="1:15" ht="14.4" x14ac:dyDescent="0.3">
      <c r="A16" s="36" t="s">
        <v>123</v>
      </c>
      <c r="B16" s="26" t="s">
        <v>67</v>
      </c>
      <c r="C16" s="4">
        <v>567.30000000000007</v>
      </c>
      <c r="D16" s="4">
        <v>824</v>
      </c>
      <c r="E16" s="4">
        <v>748.64999999999986</v>
      </c>
      <c r="F16" s="4">
        <v>6603</v>
      </c>
      <c r="G16" s="4">
        <v>9960.2999999999993</v>
      </c>
      <c r="H16" s="4">
        <v>16260</v>
      </c>
      <c r="I16" s="4">
        <v>11658.35</v>
      </c>
      <c r="J16" s="4">
        <v>11570.46</v>
      </c>
      <c r="K16" s="4">
        <v>12172.559999999998</v>
      </c>
      <c r="L16" s="5">
        <v>17427.900000000001</v>
      </c>
      <c r="M16" s="5">
        <v>5705</v>
      </c>
      <c r="N16" s="5">
        <v>5259.4909090909086</v>
      </c>
      <c r="O16" s="21">
        <f t="shared" si="0"/>
        <v>98757.010909090895</v>
      </c>
    </row>
    <row r="17" spans="1:15" ht="14.4" x14ac:dyDescent="0.3">
      <c r="A17" s="36" t="s">
        <v>123</v>
      </c>
      <c r="B17" s="26" t="s">
        <v>68</v>
      </c>
      <c r="C17" s="4">
        <v>2464.5</v>
      </c>
      <c r="D17" s="4">
        <v>1751</v>
      </c>
      <c r="E17" s="4">
        <v>8649</v>
      </c>
      <c r="F17" s="4">
        <v>9021</v>
      </c>
      <c r="G17" s="4">
        <v>8010.4</v>
      </c>
      <c r="H17" s="4">
        <v>9918.6</v>
      </c>
      <c r="I17" s="4">
        <v>3794.7799999999997</v>
      </c>
      <c r="J17" s="4">
        <v>4771.9100000000008</v>
      </c>
      <c r="K17" s="4">
        <v>4699.38</v>
      </c>
      <c r="L17" s="5">
        <v>20055.200000000004</v>
      </c>
      <c r="M17" s="5">
        <v>14588</v>
      </c>
      <c r="N17" s="5">
        <v>3644.9454545454555</v>
      </c>
      <c r="O17" s="21">
        <f t="shared" si="0"/>
        <v>91368.715454545454</v>
      </c>
    </row>
    <row r="18" spans="1:15" ht="14.4" x14ac:dyDescent="0.3">
      <c r="A18" s="36" t="s">
        <v>122</v>
      </c>
      <c r="B18" s="26" t="s">
        <v>6</v>
      </c>
      <c r="C18" s="4">
        <v>1746.6000000000001</v>
      </c>
      <c r="D18" s="4">
        <v>639</v>
      </c>
      <c r="E18" s="4">
        <v>817.94999999999993</v>
      </c>
      <c r="F18" s="4">
        <v>571.94999999999993</v>
      </c>
      <c r="G18" s="4">
        <v>356</v>
      </c>
      <c r="H18" s="4">
        <v>764.25999999999988</v>
      </c>
      <c r="I18" s="4">
        <v>1009.8</v>
      </c>
      <c r="J18" s="4">
        <v>1366.1999999999998</v>
      </c>
      <c r="K18" s="4">
        <v>1413.12</v>
      </c>
      <c r="L18" s="5">
        <v>1713.6</v>
      </c>
      <c r="M18" s="5">
        <v>1044</v>
      </c>
      <c r="N18" s="5">
        <v>1090.6363636363635</v>
      </c>
      <c r="O18" s="21">
        <f t="shared" si="0"/>
        <v>12533.116363636365</v>
      </c>
    </row>
    <row r="19" spans="1:15" ht="14.4" x14ac:dyDescent="0.3">
      <c r="A19" s="36" t="s">
        <v>124</v>
      </c>
      <c r="B19" s="26" t="s">
        <v>69</v>
      </c>
      <c r="C19" s="4">
        <v>1291.5</v>
      </c>
      <c r="D19" s="4">
        <v>568</v>
      </c>
      <c r="E19" s="4">
        <v>1629.75</v>
      </c>
      <c r="F19" s="4">
        <v>2337</v>
      </c>
      <c r="G19" s="4">
        <v>1836.9599999999998</v>
      </c>
      <c r="H19" s="4">
        <v>2300.1999999999998</v>
      </c>
      <c r="I19" s="4">
        <v>3082.2</v>
      </c>
      <c r="J19" s="4">
        <v>4890.5999999999995</v>
      </c>
      <c r="K19" s="4">
        <v>10567.679999999998</v>
      </c>
      <c r="L19" s="5">
        <v>15456</v>
      </c>
      <c r="M19" s="5">
        <v>9626.5499999999993</v>
      </c>
      <c r="N19" s="5">
        <v>5494.3272727272724</v>
      </c>
      <c r="O19" s="21">
        <f t="shared" si="0"/>
        <v>59080.767272727273</v>
      </c>
    </row>
    <row r="20" spans="1:15" ht="14.4" x14ac:dyDescent="0.3">
      <c r="A20" s="36" t="s">
        <v>124</v>
      </c>
      <c r="B20" s="26" t="s">
        <v>70</v>
      </c>
      <c r="C20" s="4">
        <v>6642</v>
      </c>
      <c r="D20" s="4">
        <v>7597</v>
      </c>
      <c r="E20" s="4">
        <v>6820.3499999999995</v>
      </c>
      <c r="F20" s="4">
        <v>7847.4000000000005</v>
      </c>
      <c r="G20" s="4">
        <v>2976.16</v>
      </c>
      <c r="H20" s="4">
        <v>3932.6</v>
      </c>
      <c r="I20" s="4">
        <v>4309.8</v>
      </c>
      <c r="J20" s="4">
        <v>4290</v>
      </c>
      <c r="K20" s="4">
        <v>11729.92</v>
      </c>
      <c r="L20" s="5">
        <v>9816.7999999999993</v>
      </c>
      <c r="M20" s="5">
        <v>5768.1</v>
      </c>
      <c r="N20" s="5">
        <v>4597.0181818181818</v>
      </c>
      <c r="O20" s="21">
        <f t="shared" si="0"/>
        <v>76327.148181818193</v>
      </c>
    </row>
    <row r="21" spans="1:15" ht="14.4" x14ac:dyDescent="0.3">
      <c r="A21" s="36" t="s">
        <v>123</v>
      </c>
      <c r="B21" s="26" t="s">
        <v>71</v>
      </c>
      <c r="C21" s="4">
        <v>8733</v>
      </c>
      <c r="D21" s="4">
        <v>10082</v>
      </c>
      <c r="E21" s="4">
        <v>10147.5</v>
      </c>
      <c r="F21" s="4">
        <v>10811.699999999999</v>
      </c>
      <c r="G21" s="4">
        <v>5731.6</v>
      </c>
      <c r="H21" s="4">
        <v>4192.3</v>
      </c>
      <c r="I21" s="4">
        <v>5167.7999999999993</v>
      </c>
      <c r="J21" s="4">
        <v>20460</v>
      </c>
      <c r="K21" s="4">
        <v>26690.559999999998</v>
      </c>
      <c r="L21" s="5">
        <v>36624</v>
      </c>
      <c r="M21" s="5">
        <v>23577</v>
      </c>
      <c r="N21" s="5">
        <v>13907.163636363635</v>
      </c>
      <c r="O21" s="21">
        <f t="shared" si="0"/>
        <v>176124.62363636363</v>
      </c>
    </row>
    <row r="22" spans="1:15" ht="14.4" x14ac:dyDescent="0.3">
      <c r="A22" s="36" t="s">
        <v>122</v>
      </c>
      <c r="B22" s="26" t="s">
        <v>72</v>
      </c>
      <c r="C22" s="4">
        <v>8309.5500000000011</v>
      </c>
      <c r="D22" s="4">
        <v>19709.05</v>
      </c>
      <c r="E22" s="4">
        <v>14633.550000000001</v>
      </c>
      <c r="F22" s="4">
        <v>5500.9499999999989</v>
      </c>
      <c r="G22" s="4">
        <v>1665.3200000000002</v>
      </c>
      <c r="H22" s="4">
        <v>2276.4</v>
      </c>
      <c r="I22" s="4">
        <v>1519.98</v>
      </c>
      <c r="J22" s="4">
        <v>1468.28</v>
      </c>
      <c r="K22" s="4">
        <v>2090.4</v>
      </c>
      <c r="L22" s="5">
        <v>2795</v>
      </c>
      <c r="M22" s="5">
        <v>1970.5000000000002</v>
      </c>
      <c r="N22" s="5">
        <v>5232.4363636363632</v>
      </c>
      <c r="O22" s="21">
        <f t="shared" si="0"/>
        <v>67171.416363636366</v>
      </c>
    </row>
    <row r="23" spans="1:15" ht="14.4" x14ac:dyDescent="0.3">
      <c r="A23" s="36" t="s">
        <v>122</v>
      </c>
      <c r="B23" s="26" t="s">
        <v>73</v>
      </c>
      <c r="C23" s="4">
        <v>697.5</v>
      </c>
      <c r="D23" s="4">
        <v>618</v>
      </c>
      <c r="E23" s="4">
        <v>697.5</v>
      </c>
      <c r="F23" s="4">
        <v>2673.75</v>
      </c>
      <c r="G23" s="4">
        <v>252.96</v>
      </c>
      <c r="H23" s="4">
        <v>1826.54</v>
      </c>
      <c r="I23" s="4">
        <v>387.75</v>
      </c>
      <c r="J23" s="4">
        <v>1395.9</v>
      </c>
      <c r="K23" s="4">
        <v>1495.4399999999998</v>
      </c>
      <c r="L23" s="5">
        <v>1745.8</v>
      </c>
      <c r="M23" s="5">
        <v>1067.5</v>
      </c>
      <c r="N23" s="5">
        <v>1007.1272727272731</v>
      </c>
      <c r="O23" s="21">
        <f t="shared" si="0"/>
        <v>13865.767272727273</v>
      </c>
    </row>
    <row r="24" spans="1:15" ht="14.4" x14ac:dyDescent="0.3">
      <c r="A24" s="36" t="s">
        <v>123</v>
      </c>
      <c r="B24" s="26" t="s">
        <v>74</v>
      </c>
      <c r="C24" s="4">
        <v>36127.4</v>
      </c>
      <c r="D24" s="4">
        <v>32201.600000000002</v>
      </c>
      <c r="E24" s="4">
        <v>47085.900000000009</v>
      </c>
      <c r="F24" s="4">
        <v>29760</v>
      </c>
      <c r="G24" s="4">
        <v>30906</v>
      </c>
      <c r="H24" s="4">
        <v>27720.460000000003</v>
      </c>
      <c r="I24" s="4">
        <v>9172.8000000000011</v>
      </c>
      <c r="J24" s="4">
        <v>18507.300000000003</v>
      </c>
      <c r="K24" s="4">
        <v>20676.120000000003</v>
      </c>
      <c r="L24" s="5">
        <v>18289.600000000002</v>
      </c>
      <c r="M24" s="5">
        <v>19069.75</v>
      </c>
      <c r="N24" s="5">
        <v>17375.454545454544</v>
      </c>
      <c r="O24" s="21">
        <f t="shared" si="0"/>
        <v>306892.38454545452</v>
      </c>
    </row>
    <row r="25" spans="1:15" ht="14.4" x14ac:dyDescent="0.3">
      <c r="A25" s="36" t="s">
        <v>121</v>
      </c>
      <c r="B25" s="26" t="s">
        <v>75</v>
      </c>
      <c r="C25" s="4">
        <v>518</v>
      </c>
      <c r="D25" s="4">
        <v>600</v>
      </c>
      <c r="E25" s="4">
        <v>351.5</v>
      </c>
      <c r="F25" s="4">
        <v>314.5</v>
      </c>
      <c r="G25" s="4">
        <v>412</v>
      </c>
      <c r="H25" s="4">
        <v>638.6</v>
      </c>
      <c r="I25" s="4">
        <v>767</v>
      </c>
      <c r="J25" s="4">
        <v>3150.6</v>
      </c>
      <c r="K25" s="4">
        <v>2256.16</v>
      </c>
      <c r="L25" s="5">
        <v>2234</v>
      </c>
      <c r="M25" s="5">
        <v>1572.5</v>
      </c>
      <c r="N25" s="5">
        <v>1036.5454545454545</v>
      </c>
      <c r="O25" s="21">
        <f t="shared" si="0"/>
        <v>13851.405454545455</v>
      </c>
    </row>
    <row r="26" spans="1:15" ht="14.4" x14ac:dyDescent="0.3">
      <c r="A26" s="36" t="s">
        <v>123</v>
      </c>
      <c r="B26" s="26" t="s">
        <v>76</v>
      </c>
      <c r="C26" s="4">
        <v>1984.4</v>
      </c>
      <c r="D26" s="4">
        <v>2870</v>
      </c>
      <c r="E26" s="4">
        <v>902</v>
      </c>
      <c r="F26" s="4">
        <v>4346</v>
      </c>
      <c r="G26" s="4">
        <v>2214</v>
      </c>
      <c r="H26" s="4">
        <v>10824</v>
      </c>
      <c r="I26" s="4">
        <v>3772</v>
      </c>
      <c r="J26" s="4">
        <v>70528.199999999983</v>
      </c>
      <c r="K26" s="4">
        <v>92232</v>
      </c>
      <c r="L26" s="5">
        <v>135378.79999999999</v>
      </c>
      <c r="M26" s="5">
        <v>166947.29999999999</v>
      </c>
      <c r="N26" s="5">
        <v>53232.909090909096</v>
      </c>
      <c r="O26" s="21">
        <f t="shared" si="0"/>
        <v>545231.60909090901</v>
      </c>
    </row>
    <row r="27" spans="1:15" ht="14.4" x14ac:dyDescent="0.3">
      <c r="A27" s="36" t="s">
        <v>121</v>
      </c>
      <c r="B27" s="26" t="s">
        <v>77</v>
      </c>
      <c r="C27" s="4">
        <v>10944</v>
      </c>
      <c r="D27" s="4">
        <v>6172.5</v>
      </c>
      <c r="E27" s="4">
        <v>17082</v>
      </c>
      <c r="F27" s="4">
        <v>8010</v>
      </c>
      <c r="G27" s="4">
        <v>12553.5</v>
      </c>
      <c r="H27" s="4">
        <v>15600</v>
      </c>
      <c r="I27" s="4">
        <v>20662.5</v>
      </c>
      <c r="J27" s="4">
        <v>33048</v>
      </c>
      <c r="K27" s="4">
        <v>21570</v>
      </c>
      <c r="L27" s="5">
        <v>23595</v>
      </c>
      <c r="M27" s="5">
        <v>16140</v>
      </c>
      <c r="N27" s="5">
        <v>16852.5</v>
      </c>
      <c r="O27" s="21">
        <f t="shared" si="0"/>
        <v>202230</v>
      </c>
    </row>
    <row r="28" spans="1:15" ht="14.4" x14ac:dyDescent="0.3">
      <c r="A28" s="36" t="s">
        <v>123</v>
      </c>
      <c r="B28" s="26" t="s">
        <v>78</v>
      </c>
      <c r="C28" s="4">
        <v>387.45</v>
      </c>
      <c r="D28" s="4">
        <v>355</v>
      </c>
      <c r="E28" s="4">
        <v>528.9</v>
      </c>
      <c r="F28" s="4">
        <v>430.5</v>
      </c>
      <c r="G28" s="4">
        <v>356</v>
      </c>
      <c r="H28" s="4">
        <v>845.87999999999988</v>
      </c>
      <c r="I28" s="4">
        <v>224.39999999999998</v>
      </c>
      <c r="J28" s="4">
        <v>924</v>
      </c>
      <c r="K28" s="4">
        <v>860.16</v>
      </c>
      <c r="L28" s="5">
        <v>1288</v>
      </c>
      <c r="M28" s="5">
        <v>652.5</v>
      </c>
      <c r="N28" s="5">
        <v>651</v>
      </c>
      <c r="O28" s="21">
        <f t="shared" si="0"/>
        <v>7503.79</v>
      </c>
    </row>
    <row r="29" spans="1:15" ht="14.4" x14ac:dyDescent="0.3">
      <c r="A29" s="36" t="s">
        <v>124</v>
      </c>
      <c r="B29" s="26" t="s">
        <v>32</v>
      </c>
      <c r="C29" s="4">
        <v>1530</v>
      </c>
      <c r="D29" s="4">
        <v>1170</v>
      </c>
      <c r="E29" s="4">
        <v>1152</v>
      </c>
      <c r="F29" s="4">
        <v>1440</v>
      </c>
      <c r="G29" s="4">
        <v>1890</v>
      </c>
      <c r="H29" s="4">
        <v>2655</v>
      </c>
      <c r="I29" s="4">
        <v>1620</v>
      </c>
      <c r="J29" s="4">
        <v>450</v>
      </c>
      <c r="K29" s="4">
        <v>1078</v>
      </c>
      <c r="L29" s="5">
        <v>2736</v>
      </c>
      <c r="M29" s="5">
        <v>1638</v>
      </c>
      <c r="N29" s="5">
        <v>1711.6363636363637</v>
      </c>
      <c r="O29" s="21">
        <f t="shared" si="0"/>
        <v>19070.636363636364</v>
      </c>
    </row>
    <row r="30" spans="1:15" ht="14.4" x14ac:dyDescent="0.3">
      <c r="A30" s="36" t="s">
        <v>124</v>
      </c>
      <c r="B30" s="26" t="s">
        <v>48</v>
      </c>
      <c r="C30" s="4">
        <v>540</v>
      </c>
      <c r="D30" s="4">
        <v>1292</v>
      </c>
      <c r="E30" s="4">
        <v>855</v>
      </c>
      <c r="F30" s="4">
        <v>723</v>
      </c>
      <c r="G30" s="4">
        <v>1166</v>
      </c>
      <c r="H30" s="4">
        <v>1386</v>
      </c>
      <c r="I30" s="4">
        <v>1563</v>
      </c>
      <c r="J30" s="4">
        <v>2811</v>
      </c>
      <c r="K30" s="4">
        <v>3408</v>
      </c>
      <c r="L30" s="5">
        <v>3308</v>
      </c>
      <c r="M30" s="5">
        <v>1905</v>
      </c>
      <c r="N30" s="5">
        <v>1575.4545454545455</v>
      </c>
      <c r="O30" s="21">
        <f t="shared" si="0"/>
        <v>20532.454545454544</v>
      </c>
    </row>
    <row r="31" spans="1:15" ht="14.4" x14ac:dyDescent="0.3">
      <c r="A31" s="36" t="s">
        <v>121</v>
      </c>
      <c r="B31" s="26" t="s">
        <v>79</v>
      </c>
      <c r="C31" s="4">
        <v>268</v>
      </c>
      <c r="D31" s="4">
        <v>220</v>
      </c>
      <c r="E31" s="4">
        <v>221.1</v>
      </c>
      <c r="F31" s="4">
        <v>360.125</v>
      </c>
      <c r="G31" s="4">
        <v>298.20000000000005</v>
      </c>
      <c r="H31" s="4">
        <v>517.59</v>
      </c>
      <c r="I31" s="4">
        <v>590</v>
      </c>
      <c r="J31" s="4">
        <v>944</v>
      </c>
      <c r="K31" s="4">
        <v>839.56000000000006</v>
      </c>
      <c r="L31" s="5">
        <v>846</v>
      </c>
      <c r="M31" s="5">
        <v>871</v>
      </c>
      <c r="N31" s="5">
        <v>502.72727272727275</v>
      </c>
      <c r="O31" s="21">
        <f t="shared" si="0"/>
        <v>6478.3022727272728</v>
      </c>
    </row>
    <row r="32" spans="1:15" ht="14.4" x14ac:dyDescent="0.3">
      <c r="A32" s="36" t="s">
        <v>123</v>
      </c>
      <c r="B32" s="26" t="s">
        <v>49</v>
      </c>
      <c r="C32" s="4">
        <v>276</v>
      </c>
      <c r="D32" s="4">
        <v>508.4</v>
      </c>
      <c r="E32" s="4">
        <v>450</v>
      </c>
      <c r="F32" s="4">
        <v>612</v>
      </c>
      <c r="G32" s="4">
        <v>1067.5999999999999</v>
      </c>
      <c r="H32" s="4">
        <v>2826</v>
      </c>
      <c r="I32" s="4">
        <v>1881</v>
      </c>
      <c r="J32" s="4">
        <v>2092.1999999999998</v>
      </c>
      <c r="K32" s="4">
        <v>4548.3999999999996</v>
      </c>
      <c r="L32" s="5">
        <v>3528</v>
      </c>
      <c r="M32" s="5">
        <v>2016</v>
      </c>
      <c r="N32" s="5">
        <v>1954.1272727272726</v>
      </c>
      <c r="O32" s="21">
        <f t="shared" si="0"/>
        <v>21759.727272727272</v>
      </c>
    </row>
    <row r="33" spans="1:15" ht="14.4" x14ac:dyDescent="0.3">
      <c r="A33" s="36" t="s">
        <v>124</v>
      </c>
      <c r="B33" s="26" t="s">
        <v>80</v>
      </c>
      <c r="C33" s="4">
        <v>83.75</v>
      </c>
      <c r="D33" s="4">
        <v>262</v>
      </c>
      <c r="E33" s="4">
        <v>239.52500000000001</v>
      </c>
      <c r="F33" s="4">
        <v>318.25</v>
      </c>
      <c r="G33" s="4">
        <v>460.08000000000004</v>
      </c>
      <c r="H33" s="4">
        <v>681.6</v>
      </c>
      <c r="I33" s="4">
        <v>591</v>
      </c>
      <c r="J33" s="4">
        <v>723</v>
      </c>
      <c r="K33" s="4">
        <v>1476.1800000000003</v>
      </c>
      <c r="L33" s="5">
        <v>974</v>
      </c>
      <c r="M33" s="5">
        <v>1088.75</v>
      </c>
      <c r="N33" s="5">
        <v>573.81818181818187</v>
      </c>
      <c r="O33" s="21">
        <f t="shared" si="0"/>
        <v>7471.9531818181822</v>
      </c>
    </row>
    <row r="34" spans="1:15" ht="14.4" x14ac:dyDescent="0.3">
      <c r="A34" s="36" t="s">
        <v>121</v>
      </c>
      <c r="B34" s="26" t="s">
        <v>50</v>
      </c>
      <c r="C34" s="4">
        <v>2610</v>
      </c>
      <c r="D34" s="4">
        <v>1440</v>
      </c>
      <c r="E34" s="4">
        <v>2097</v>
      </c>
      <c r="F34" s="4">
        <v>3888</v>
      </c>
      <c r="G34" s="4">
        <v>5517</v>
      </c>
      <c r="H34" s="4">
        <v>7020</v>
      </c>
      <c r="I34" s="4">
        <v>5580</v>
      </c>
      <c r="J34" s="4">
        <v>11340</v>
      </c>
      <c r="K34" s="4">
        <v>16170</v>
      </c>
      <c r="L34" s="5">
        <v>22120</v>
      </c>
      <c r="M34" s="5">
        <v>13740</v>
      </c>
      <c r="N34" s="5">
        <v>9616.0909090909099</v>
      </c>
      <c r="O34" s="21">
        <f t="shared" si="0"/>
        <v>101138.09090909091</v>
      </c>
    </row>
    <row r="35" spans="1:15" ht="14.4" x14ac:dyDescent="0.3">
      <c r="A35" s="36" t="s">
        <v>123</v>
      </c>
      <c r="B35" s="26" t="s">
        <v>81</v>
      </c>
      <c r="C35" s="4">
        <v>270</v>
      </c>
      <c r="D35" s="4">
        <v>207</v>
      </c>
      <c r="E35" s="4">
        <v>315</v>
      </c>
      <c r="F35" s="4">
        <v>801</v>
      </c>
      <c r="G35" s="4">
        <v>585</v>
      </c>
      <c r="H35" s="4">
        <v>747</v>
      </c>
      <c r="I35" s="4">
        <v>360</v>
      </c>
      <c r="J35" s="4">
        <v>648</v>
      </c>
      <c r="K35" s="4">
        <v>735</v>
      </c>
      <c r="L35" s="5">
        <v>1376</v>
      </c>
      <c r="M35" s="5">
        <v>420</v>
      </c>
      <c r="N35" s="5">
        <v>641.45454545454538</v>
      </c>
      <c r="O35" s="21">
        <f t="shared" si="0"/>
        <v>7105.454545454545</v>
      </c>
    </row>
    <row r="36" spans="1:15" ht="14.4" x14ac:dyDescent="0.3">
      <c r="A36" s="36" t="s">
        <v>122</v>
      </c>
      <c r="B36" s="26" t="s">
        <v>82</v>
      </c>
      <c r="C36" s="4">
        <v>16560</v>
      </c>
      <c r="D36" s="4">
        <v>28602</v>
      </c>
      <c r="E36" s="4">
        <v>32328</v>
      </c>
      <c r="F36" s="4">
        <v>20700</v>
      </c>
      <c r="G36" s="4">
        <v>31230</v>
      </c>
      <c r="H36" s="4">
        <v>38610</v>
      </c>
      <c r="I36" s="4">
        <v>16677</v>
      </c>
      <c r="J36" s="4">
        <v>11673</v>
      </c>
      <c r="K36" s="4">
        <v>14980</v>
      </c>
      <c r="L36" s="5">
        <v>14032</v>
      </c>
      <c r="M36" s="5">
        <v>52020</v>
      </c>
      <c r="N36" s="5">
        <v>28132.36363636364</v>
      </c>
      <c r="O36" s="21">
        <f t="shared" si="0"/>
        <v>305544.36363636365</v>
      </c>
    </row>
    <row r="37" spans="1:15" ht="14.4" x14ac:dyDescent="0.3">
      <c r="A37" s="36" t="s">
        <v>123</v>
      </c>
      <c r="B37" s="26" t="s">
        <v>83</v>
      </c>
      <c r="C37" s="4">
        <v>1170</v>
      </c>
      <c r="D37" s="4">
        <v>1431</v>
      </c>
      <c r="E37" s="4">
        <v>1260</v>
      </c>
      <c r="F37" s="4">
        <v>2943</v>
      </c>
      <c r="G37" s="4">
        <v>1080</v>
      </c>
      <c r="H37" s="4">
        <v>2070</v>
      </c>
      <c r="I37" s="4">
        <v>1287</v>
      </c>
      <c r="J37" s="4">
        <v>1881</v>
      </c>
      <c r="K37" s="4">
        <v>5901</v>
      </c>
      <c r="L37" s="5">
        <v>5944</v>
      </c>
      <c r="M37" s="5">
        <v>3192</v>
      </c>
      <c r="N37" s="5">
        <v>2925.8181818181815</v>
      </c>
      <c r="O37" s="21">
        <f t="shared" si="0"/>
        <v>31084.81818181818</v>
      </c>
    </row>
    <row r="38" spans="1:15" ht="14.4" x14ac:dyDescent="0.3">
      <c r="A38" s="36" t="s">
        <v>124</v>
      </c>
      <c r="B38" s="26" t="s">
        <v>84</v>
      </c>
      <c r="C38" s="4">
        <v>31872</v>
      </c>
      <c r="D38" s="4">
        <v>12951.8</v>
      </c>
      <c r="E38" s="4">
        <v>8688</v>
      </c>
      <c r="F38" s="4">
        <v>11100</v>
      </c>
      <c r="G38" s="4">
        <v>16328</v>
      </c>
      <c r="H38" s="4">
        <v>11680.8</v>
      </c>
      <c r="I38" s="4">
        <v>17364.599999999999</v>
      </c>
      <c r="J38" s="4">
        <v>14077.8</v>
      </c>
      <c r="K38" s="4">
        <v>10143.48</v>
      </c>
      <c r="L38" s="5">
        <v>28616</v>
      </c>
      <c r="M38" s="5">
        <v>19362</v>
      </c>
      <c r="N38" s="5">
        <v>16623.890909090907</v>
      </c>
      <c r="O38" s="21">
        <f t="shared" si="0"/>
        <v>198808.37090909091</v>
      </c>
    </row>
    <row r="39" spans="1:15" ht="14.4" x14ac:dyDescent="0.3">
      <c r="A39" s="36" t="s">
        <v>123</v>
      </c>
      <c r="B39" s="26" t="s">
        <v>85</v>
      </c>
      <c r="C39" s="4">
        <v>1116</v>
      </c>
      <c r="D39" s="4">
        <v>960</v>
      </c>
      <c r="E39" s="4">
        <v>961</v>
      </c>
      <c r="F39" s="4">
        <v>1112.8999999999999</v>
      </c>
      <c r="G39" s="4">
        <v>1842.2400000000002</v>
      </c>
      <c r="H39" s="4">
        <v>2424</v>
      </c>
      <c r="I39" s="4">
        <v>1680</v>
      </c>
      <c r="J39" s="4">
        <v>2209.2000000000003</v>
      </c>
      <c r="K39" s="4">
        <v>2308.2400000000002</v>
      </c>
      <c r="L39" s="5">
        <v>4017.6000000000004</v>
      </c>
      <c r="M39" s="5">
        <v>3279.5</v>
      </c>
      <c r="N39" s="5">
        <v>2245.2727272727275</v>
      </c>
      <c r="O39" s="21">
        <f t="shared" si="0"/>
        <v>24155.952727272728</v>
      </c>
    </row>
    <row r="40" spans="1:15" ht="14.4" x14ac:dyDescent="0.3">
      <c r="A40" s="36" t="s">
        <v>123</v>
      </c>
      <c r="B40" s="26" t="s">
        <v>86</v>
      </c>
      <c r="C40" s="4">
        <v>553.5</v>
      </c>
      <c r="D40" s="4">
        <v>908.8</v>
      </c>
      <c r="E40" s="4">
        <v>430.5</v>
      </c>
      <c r="F40" s="4">
        <v>2859.75</v>
      </c>
      <c r="G40" s="4">
        <v>2207.1999999999998</v>
      </c>
      <c r="H40" s="4">
        <v>3858.4</v>
      </c>
      <c r="I40" s="4">
        <v>2336.4</v>
      </c>
      <c r="J40" s="4">
        <v>2838</v>
      </c>
      <c r="K40" s="4">
        <v>3481.6</v>
      </c>
      <c r="L40" s="5">
        <v>4782.3999999999996</v>
      </c>
      <c r="M40" s="5">
        <v>2101.0500000000002</v>
      </c>
      <c r="N40" s="5">
        <v>2470.9818181818177</v>
      </c>
      <c r="O40" s="21">
        <f t="shared" si="0"/>
        <v>28828.581818181814</v>
      </c>
    </row>
    <row r="41" spans="1:15" ht="14.4" x14ac:dyDescent="0.3">
      <c r="A41" s="36" t="s">
        <v>121</v>
      </c>
      <c r="B41" s="26" t="s">
        <v>87</v>
      </c>
      <c r="C41" s="4">
        <v>301.5</v>
      </c>
      <c r="D41" s="4">
        <v>260</v>
      </c>
      <c r="E41" s="4">
        <v>164.15</v>
      </c>
      <c r="F41" s="4">
        <v>309.875</v>
      </c>
      <c r="G41" s="4">
        <v>668.81999999999994</v>
      </c>
      <c r="H41" s="4">
        <v>272.64000000000004</v>
      </c>
      <c r="I41" s="4">
        <v>607.70000000000005</v>
      </c>
      <c r="J41" s="4">
        <v>1221.3</v>
      </c>
      <c r="K41" s="4">
        <v>1050.8400000000001</v>
      </c>
      <c r="L41" s="5">
        <v>1186</v>
      </c>
      <c r="M41" s="5">
        <v>1128.95</v>
      </c>
      <c r="N41" s="5">
        <v>600</v>
      </c>
      <c r="O41" s="21">
        <f t="shared" si="0"/>
        <v>7771.7750000000005</v>
      </c>
    </row>
    <row r="42" spans="1:15" ht="14.4" x14ac:dyDescent="0.3">
      <c r="A42" s="36" t="s">
        <v>121</v>
      </c>
      <c r="B42" s="26" t="s">
        <v>88</v>
      </c>
      <c r="C42" s="4">
        <v>237.85</v>
      </c>
      <c r="D42" s="4">
        <v>280</v>
      </c>
      <c r="E42" s="4">
        <v>304.84999999999997</v>
      </c>
      <c r="F42" s="4">
        <v>251.25</v>
      </c>
      <c r="G42" s="4">
        <v>474.99000000000007</v>
      </c>
      <c r="H42" s="4">
        <v>1437.75</v>
      </c>
      <c r="I42" s="4">
        <v>1011.85</v>
      </c>
      <c r="J42" s="4">
        <v>1492.7</v>
      </c>
      <c r="K42" s="4">
        <v>1620.74</v>
      </c>
      <c r="L42" s="5">
        <v>1234</v>
      </c>
      <c r="M42" s="5">
        <v>1222.75</v>
      </c>
      <c r="N42" s="5">
        <v>780.18181818181813</v>
      </c>
      <c r="O42" s="21">
        <f t="shared" si="0"/>
        <v>10348.911818181818</v>
      </c>
    </row>
    <row r="43" spans="1:15" ht="14.4" x14ac:dyDescent="0.3">
      <c r="A43" s="36" t="s">
        <v>121</v>
      </c>
      <c r="B43" s="26" t="s">
        <v>89</v>
      </c>
      <c r="C43" s="4">
        <v>6147.300000000002</v>
      </c>
      <c r="D43" s="4">
        <v>6102.75</v>
      </c>
      <c r="E43" s="4">
        <v>5301</v>
      </c>
      <c r="F43" s="4">
        <v>5719.5</v>
      </c>
      <c r="G43" s="4">
        <v>11225.1</v>
      </c>
      <c r="H43" s="4">
        <v>2005.4</v>
      </c>
      <c r="I43" s="4">
        <v>1457.94</v>
      </c>
      <c r="J43" s="4">
        <v>1866.3700000000001</v>
      </c>
      <c r="K43" s="4">
        <v>3384.8399999999997</v>
      </c>
      <c r="L43" s="5">
        <v>3147.6</v>
      </c>
      <c r="M43" s="5">
        <v>1596</v>
      </c>
      <c r="N43" s="5">
        <v>1767.2727272727275</v>
      </c>
      <c r="O43" s="21">
        <f t="shared" si="0"/>
        <v>49721.072727272731</v>
      </c>
    </row>
    <row r="44" spans="1:15" ht="14.4" x14ac:dyDescent="0.3">
      <c r="A44" s="36" t="s">
        <v>123</v>
      </c>
      <c r="B44" s="26" t="s">
        <v>90</v>
      </c>
      <c r="C44" s="4">
        <v>5142.9000000000005</v>
      </c>
      <c r="D44" s="4">
        <v>5500.2</v>
      </c>
      <c r="E44" s="4">
        <v>5054.5500000000011</v>
      </c>
      <c r="F44" s="4">
        <v>4808.1000000000004</v>
      </c>
      <c r="G44" s="4">
        <v>11488.6</v>
      </c>
      <c r="H44" s="4">
        <v>1300.8</v>
      </c>
      <c r="I44" s="4">
        <v>1654.4</v>
      </c>
      <c r="J44" s="4">
        <v>2471.2599999999998</v>
      </c>
      <c r="K44" s="4">
        <v>1246.2</v>
      </c>
      <c r="L44" s="5">
        <v>1810.3</v>
      </c>
      <c r="M44" s="5">
        <v>1221.5</v>
      </c>
      <c r="N44" s="5">
        <v>1087.8545454545454</v>
      </c>
      <c r="O44" s="21">
        <f t="shared" si="0"/>
        <v>42786.664545454551</v>
      </c>
    </row>
    <row r="45" spans="1:15" ht="14.4" x14ac:dyDescent="0.3">
      <c r="A45" s="36" t="s">
        <v>121</v>
      </c>
      <c r="B45" s="26" t="s">
        <v>91</v>
      </c>
      <c r="C45" s="4">
        <v>5347.5</v>
      </c>
      <c r="D45" s="4">
        <v>5819.5</v>
      </c>
      <c r="E45" s="4">
        <v>5012.6999999999989</v>
      </c>
      <c r="F45" s="4">
        <v>4882.5</v>
      </c>
      <c r="G45" s="4">
        <v>11172.4</v>
      </c>
      <c r="H45" s="4">
        <v>867.2</v>
      </c>
      <c r="I45" s="4">
        <v>930.6</v>
      </c>
      <c r="J45" s="4">
        <v>806.52</v>
      </c>
      <c r="K45" s="4">
        <v>554.7600000000001</v>
      </c>
      <c r="L45" s="5">
        <v>688</v>
      </c>
      <c r="M45" s="5">
        <v>945</v>
      </c>
      <c r="N45" s="5">
        <v>694.69090909090903</v>
      </c>
      <c r="O45" s="21">
        <f t="shared" si="0"/>
        <v>37721.370909090903</v>
      </c>
    </row>
    <row r="46" spans="1:15" ht="14.4" x14ac:dyDescent="0.3">
      <c r="A46" s="36" t="s">
        <v>121</v>
      </c>
      <c r="B46" s="26" t="s">
        <v>92</v>
      </c>
      <c r="C46" s="4">
        <v>6231</v>
      </c>
      <c r="D46" s="4">
        <v>6437.5</v>
      </c>
      <c r="E46" s="4">
        <v>6603</v>
      </c>
      <c r="F46" s="4">
        <v>6231</v>
      </c>
      <c r="G46" s="4">
        <v>12827.18</v>
      </c>
      <c r="H46" s="4">
        <v>3631.4</v>
      </c>
      <c r="I46" s="4">
        <v>2688.4</v>
      </c>
      <c r="J46" s="4">
        <v>6204</v>
      </c>
      <c r="K46" s="4">
        <v>9366.6</v>
      </c>
      <c r="L46" s="5">
        <v>12775.3</v>
      </c>
      <c r="M46" s="5">
        <v>9798</v>
      </c>
      <c r="N46" s="5">
        <v>5338.9090909090901</v>
      </c>
      <c r="O46" s="21">
        <f t="shared" si="0"/>
        <v>88132.289090909093</v>
      </c>
    </row>
    <row r="47" spans="1:15" ht="14.4" x14ac:dyDescent="0.3">
      <c r="A47" s="36" t="s">
        <v>121</v>
      </c>
      <c r="B47" s="26" t="s">
        <v>93</v>
      </c>
      <c r="C47" s="4">
        <v>7347</v>
      </c>
      <c r="D47" s="4">
        <v>7158.5</v>
      </c>
      <c r="E47" s="4">
        <v>5952</v>
      </c>
      <c r="F47" s="4">
        <v>6612.300000000002</v>
      </c>
      <c r="G47" s="4">
        <v>13280.4</v>
      </c>
      <c r="H47" s="4">
        <v>4021.6400000000003</v>
      </c>
      <c r="I47" s="4">
        <v>3360.5</v>
      </c>
      <c r="J47" s="4">
        <v>3257.1</v>
      </c>
      <c r="K47" s="4">
        <v>5306.4</v>
      </c>
      <c r="L47" s="5">
        <v>4437.6000000000004</v>
      </c>
      <c r="M47" s="5">
        <v>7774.5</v>
      </c>
      <c r="N47" s="5">
        <v>3820.8000000000006</v>
      </c>
      <c r="O47" s="21">
        <f t="shared" si="0"/>
        <v>72328.740000000005</v>
      </c>
    </row>
    <row r="48" spans="1:15" ht="14.4" x14ac:dyDescent="0.3">
      <c r="A48" s="36" t="s">
        <v>121</v>
      </c>
      <c r="B48" s="26" t="s">
        <v>94</v>
      </c>
      <c r="C48" s="4">
        <v>8509.5</v>
      </c>
      <c r="D48" s="4">
        <v>8240</v>
      </c>
      <c r="E48" s="4">
        <v>8044.5</v>
      </c>
      <c r="F48" s="4">
        <v>7388.85</v>
      </c>
      <c r="G48" s="4">
        <v>12595.3</v>
      </c>
      <c r="H48" s="4">
        <v>4878</v>
      </c>
      <c r="I48" s="4">
        <v>3727.5700000000006</v>
      </c>
      <c r="J48" s="4">
        <v>4601.3</v>
      </c>
      <c r="K48" s="4">
        <v>4036.0800000000004</v>
      </c>
      <c r="L48" s="5">
        <v>4149.5</v>
      </c>
      <c r="M48" s="5">
        <v>3077.8500000000004</v>
      </c>
      <c r="N48" s="5">
        <v>3707.3454545454547</v>
      </c>
      <c r="O48" s="21">
        <f t="shared" si="0"/>
        <v>72955.79545454547</v>
      </c>
    </row>
    <row r="49" spans="1:15" ht="14.4" x14ac:dyDescent="0.3">
      <c r="A49" s="36" t="s">
        <v>121</v>
      </c>
      <c r="B49" s="26" t="s">
        <v>95</v>
      </c>
      <c r="C49" s="4">
        <v>3650</v>
      </c>
      <c r="D49" s="4">
        <v>4750</v>
      </c>
      <c r="E49" s="4">
        <v>3613.5</v>
      </c>
      <c r="F49" s="4">
        <v>5511.5</v>
      </c>
      <c r="G49" s="4">
        <v>1624</v>
      </c>
      <c r="H49" s="4">
        <v>3329.2</v>
      </c>
      <c r="I49" s="4">
        <v>2898</v>
      </c>
      <c r="J49" s="4">
        <v>2649.6</v>
      </c>
      <c r="K49" s="4">
        <v>1289.5999999999999</v>
      </c>
      <c r="L49" s="5">
        <v>817</v>
      </c>
      <c r="M49" s="5">
        <v>760.375</v>
      </c>
      <c r="N49" s="5">
        <v>1424.5454545454545</v>
      </c>
      <c r="O49" s="21">
        <f t="shared" si="0"/>
        <v>32317.320454545454</v>
      </c>
    </row>
    <row r="50" spans="1:15" ht="14.4" x14ac:dyDescent="0.3">
      <c r="A50" s="36" t="s">
        <v>121</v>
      </c>
      <c r="B50" s="26" t="s">
        <v>19</v>
      </c>
      <c r="C50" s="4">
        <v>26251.500000000004</v>
      </c>
      <c r="D50" s="4">
        <v>25836.3</v>
      </c>
      <c r="E50" s="4">
        <v>33081</v>
      </c>
      <c r="F50" s="4">
        <v>70825.5</v>
      </c>
      <c r="G50" s="4">
        <v>90522</v>
      </c>
      <c r="H50" s="4">
        <v>101468.1</v>
      </c>
      <c r="I50" s="4">
        <v>90152.640000000014</v>
      </c>
      <c r="J50" s="4">
        <v>122866.92</v>
      </c>
      <c r="K50" s="4">
        <v>106207.33499999999</v>
      </c>
      <c r="L50" s="5">
        <v>79680</v>
      </c>
      <c r="M50" s="5">
        <v>87555</v>
      </c>
      <c r="N50" s="5">
        <v>64361.45454545453</v>
      </c>
      <c r="O50" s="21">
        <f t="shared" si="0"/>
        <v>898807.74954545451</v>
      </c>
    </row>
    <row r="51" spans="1:15" s="18" customFormat="1" ht="15" customHeight="1" x14ac:dyDescent="0.3">
      <c r="A51" s="39" t="s">
        <v>125</v>
      </c>
      <c r="B51" s="39"/>
      <c r="C51" s="21">
        <f t="shared" ref="C51:N51" si="1">SUM(C2:C50)</f>
        <v>351998.85</v>
      </c>
      <c r="D51" s="21">
        <f t="shared" si="1"/>
        <v>292973.7475</v>
      </c>
      <c r="E51" s="21">
        <f t="shared" si="1"/>
        <v>343043.77</v>
      </c>
      <c r="F51" s="21">
        <f t="shared" si="1"/>
        <v>413801.1</v>
      </c>
      <c r="G51" s="21">
        <f t="shared" si="1"/>
        <v>508681.42999999993</v>
      </c>
      <c r="H51" s="21">
        <f t="shared" si="1"/>
        <v>588533.64000000013</v>
      </c>
      <c r="I51" s="21">
        <f t="shared" si="1"/>
        <v>433290.76000000007</v>
      </c>
      <c r="J51" s="21">
        <f t="shared" si="1"/>
        <v>712700.12000000011</v>
      </c>
      <c r="K51" s="21">
        <f t="shared" si="1"/>
        <v>761664.81499999994</v>
      </c>
      <c r="L51" s="21">
        <f t="shared" si="1"/>
        <v>779486.25</v>
      </c>
      <c r="M51" s="21">
        <f t="shared" si="1"/>
        <v>689158.54999999993</v>
      </c>
      <c r="N51" s="21">
        <f t="shared" si="1"/>
        <v>498209.27272727276</v>
      </c>
      <c r="O51" s="21">
        <f>SUM(C51:N51)</f>
        <v>6373542.3052272722</v>
      </c>
    </row>
  </sheetData>
  <mergeCells count="1">
    <mergeCell ref="A51:B51"/>
  </mergeCells>
  <printOptions horizontalCentered="1"/>
  <pageMargins left="0.70866141732283472" right="0.70866141732283472" top="0.39370078740157483" bottom="0.39370078740157483" header="0" footer="0.31496062992125984"/>
  <pageSetup paperSize="9" scale="89" orientation="landscape" horizontalDpi="4294967293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1F2E5-E090-414E-A27D-6F4888C2A283}">
  <dimension ref="A1:O51"/>
  <sheetViews>
    <sheetView tabSelected="1" view="pageBreakPreview" zoomScaleNormal="100" zoomScaleSheetLayoutView="100" workbookViewId="0">
      <selection sqref="A1:XFD1"/>
    </sheetView>
  </sheetViews>
  <sheetFormatPr defaultRowHeight="12" x14ac:dyDescent="0.25"/>
  <cols>
    <col min="1" max="1" width="21.6640625" style="15" bestFit="1" customWidth="1"/>
    <col min="2" max="2" width="24.33203125" style="2" customWidth="1"/>
    <col min="3" max="3" width="7.5546875" style="2" customWidth="1"/>
    <col min="4" max="4" width="9.6640625" style="2" customWidth="1"/>
    <col min="5" max="6" width="7.88671875" style="2" customWidth="1"/>
    <col min="7" max="7" width="10.33203125" style="2" customWidth="1"/>
    <col min="8" max="9" width="7.6640625" style="2" customWidth="1"/>
    <col min="10" max="10" width="8.6640625" style="2" customWidth="1"/>
    <col min="11" max="14" width="9.5546875" style="2" customWidth="1"/>
    <col min="15" max="15" width="11.6640625" style="2" customWidth="1"/>
    <col min="16" max="253" width="8.88671875" style="2"/>
    <col min="254" max="254" width="5.33203125" style="2" customWidth="1"/>
    <col min="255" max="255" width="34.44140625" style="2" customWidth="1"/>
    <col min="256" max="256" width="12.5546875" style="2" customWidth="1"/>
    <col min="257" max="261" width="11.109375" style="2" bestFit="1" customWidth="1"/>
    <col min="262" max="267" width="11.44140625" style="2" customWidth="1"/>
    <col min="268" max="268" width="15" style="2" customWidth="1"/>
    <col min="269" max="269" width="12" style="2" bestFit="1" customWidth="1"/>
    <col min="270" max="270" width="22.5546875" style="2" customWidth="1"/>
    <col min="271" max="271" width="13.88671875" style="2" bestFit="1" customWidth="1"/>
    <col min="272" max="509" width="8.88671875" style="2"/>
    <col min="510" max="510" width="5.33203125" style="2" customWidth="1"/>
    <col min="511" max="511" width="34.44140625" style="2" customWidth="1"/>
    <col min="512" max="512" width="12.5546875" style="2" customWidth="1"/>
    <col min="513" max="517" width="11.109375" style="2" bestFit="1" customWidth="1"/>
    <col min="518" max="523" width="11.44140625" style="2" customWidth="1"/>
    <col min="524" max="524" width="15" style="2" customWidth="1"/>
    <col min="525" max="525" width="12" style="2" bestFit="1" customWidth="1"/>
    <col min="526" max="526" width="22.5546875" style="2" customWidth="1"/>
    <col min="527" max="527" width="13.88671875" style="2" bestFit="1" customWidth="1"/>
    <col min="528" max="765" width="8.88671875" style="2"/>
    <col min="766" max="766" width="5.33203125" style="2" customWidth="1"/>
    <col min="767" max="767" width="34.44140625" style="2" customWidth="1"/>
    <col min="768" max="768" width="12.5546875" style="2" customWidth="1"/>
    <col min="769" max="773" width="11.109375" style="2" bestFit="1" customWidth="1"/>
    <col min="774" max="779" width="11.44140625" style="2" customWidth="1"/>
    <col min="780" max="780" width="15" style="2" customWidth="1"/>
    <col min="781" max="781" width="12" style="2" bestFit="1" customWidth="1"/>
    <col min="782" max="782" width="22.5546875" style="2" customWidth="1"/>
    <col min="783" max="783" width="13.88671875" style="2" bestFit="1" customWidth="1"/>
    <col min="784" max="1021" width="8.88671875" style="2"/>
    <col min="1022" max="1022" width="5.33203125" style="2" customWidth="1"/>
    <col min="1023" max="1023" width="34.44140625" style="2" customWidth="1"/>
    <col min="1024" max="1024" width="12.5546875" style="2" customWidth="1"/>
    <col min="1025" max="1029" width="11.109375" style="2" bestFit="1" customWidth="1"/>
    <col min="1030" max="1035" width="11.44140625" style="2" customWidth="1"/>
    <col min="1036" max="1036" width="15" style="2" customWidth="1"/>
    <col min="1037" max="1037" width="12" style="2" bestFit="1" customWidth="1"/>
    <col min="1038" max="1038" width="22.5546875" style="2" customWidth="1"/>
    <col min="1039" max="1039" width="13.88671875" style="2" bestFit="1" customWidth="1"/>
    <col min="1040" max="1277" width="8.88671875" style="2"/>
    <col min="1278" max="1278" width="5.33203125" style="2" customWidth="1"/>
    <col min="1279" max="1279" width="34.44140625" style="2" customWidth="1"/>
    <col min="1280" max="1280" width="12.5546875" style="2" customWidth="1"/>
    <col min="1281" max="1285" width="11.109375" style="2" bestFit="1" customWidth="1"/>
    <col min="1286" max="1291" width="11.44140625" style="2" customWidth="1"/>
    <col min="1292" max="1292" width="15" style="2" customWidth="1"/>
    <col min="1293" max="1293" width="12" style="2" bestFit="1" customWidth="1"/>
    <col min="1294" max="1294" width="22.5546875" style="2" customWidth="1"/>
    <col min="1295" max="1295" width="13.88671875" style="2" bestFit="1" customWidth="1"/>
    <col min="1296" max="1533" width="8.88671875" style="2"/>
    <col min="1534" max="1534" width="5.33203125" style="2" customWidth="1"/>
    <col min="1535" max="1535" width="34.44140625" style="2" customWidth="1"/>
    <col min="1536" max="1536" width="12.5546875" style="2" customWidth="1"/>
    <col min="1537" max="1541" width="11.109375" style="2" bestFit="1" customWidth="1"/>
    <col min="1542" max="1547" width="11.44140625" style="2" customWidth="1"/>
    <col min="1548" max="1548" width="15" style="2" customWidth="1"/>
    <col min="1549" max="1549" width="12" style="2" bestFit="1" customWidth="1"/>
    <col min="1550" max="1550" width="22.5546875" style="2" customWidth="1"/>
    <col min="1551" max="1551" width="13.88671875" style="2" bestFit="1" customWidth="1"/>
    <col min="1552" max="1789" width="8.88671875" style="2"/>
    <col min="1790" max="1790" width="5.33203125" style="2" customWidth="1"/>
    <col min="1791" max="1791" width="34.44140625" style="2" customWidth="1"/>
    <col min="1792" max="1792" width="12.5546875" style="2" customWidth="1"/>
    <col min="1793" max="1797" width="11.109375" style="2" bestFit="1" customWidth="1"/>
    <col min="1798" max="1803" width="11.44140625" style="2" customWidth="1"/>
    <col min="1804" max="1804" width="15" style="2" customWidth="1"/>
    <col min="1805" max="1805" width="12" style="2" bestFit="1" customWidth="1"/>
    <col min="1806" max="1806" width="22.5546875" style="2" customWidth="1"/>
    <col min="1807" max="1807" width="13.88671875" style="2" bestFit="1" customWidth="1"/>
    <col min="1808" max="2045" width="8.88671875" style="2"/>
    <col min="2046" max="2046" width="5.33203125" style="2" customWidth="1"/>
    <col min="2047" max="2047" width="34.44140625" style="2" customWidth="1"/>
    <col min="2048" max="2048" width="12.5546875" style="2" customWidth="1"/>
    <col min="2049" max="2053" width="11.109375" style="2" bestFit="1" customWidth="1"/>
    <col min="2054" max="2059" width="11.44140625" style="2" customWidth="1"/>
    <col min="2060" max="2060" width="15" style="2" customWidth="1"/>
    <col min="2061" max="2061" width="12" style="2" bestFit="1" customWidth="1"/>
    <col min="2062" max="2062" width="22.5546875" style="2" customWidth="1"/>
    <col min="2063" max="2063" width="13.88671875" style="2" bestFit="1" customWidth="1"/>
    <col min="2064" max="2301" width="8.88671875" style="2"/>
    <col min="2302" max="2302" width="5.33203125" style="2" customWidth="1"/>
    <col min="2303" max="2303" width="34.44140625" style="2" customWidth="1"/>
    <col min="2304" max="2304" width="12.5546875" style="2" customWidth="1"/>
    <col min="2305" max="2309" width="11.109375" style="2" bestFit="1" customWidth="1"/>
    <col min="2310" max="2315" width="11.44140625" style="2" customWidth="1"/>
    <col min="2316" max="2316" width="15" style="2" customWidth="1"/>
    <col min="2317" max="2317" width="12" style="2" bestFit="1" customWidth="1"/>
    <col min="2318" max="2318" width="22.5546875" style="2" customWidth="1"/>
    <col min="2319" max="2319" width="13.88671875" style="2" bestFit="1" customWidth="1"/>
    <col min="2320" max="2557" width="8.88671875" style="2"/>
    <col min="2558" max="2558" width="5.33203125" style="2" customWidth="1"/>
    <col min="2559" max="2559" width="34.44140625" style="2" customWidth="1"/>
    <col min="2560" max="2560" width="12.5546875" style="2" customWidth="1"/>
    <col min="2561" max="2565" width="11.109375" style="2" bestFit="1" customWidth="1"/>
    <col min="2566" max="2571" width="11.44140625" style="2" customWidth="1"/>
    <col min="2572" max="2572" width="15" style="2" customWidth="1"/>
    <col min="2573" max="2573" width="12" style="2" bestFit="1" customWidth="1"/>
    <col min="2574" max="2574" width="22.5546875" style="2" customWidth="1"/>
    <col min="2575" max="2575" width="13.88671875" style="2" bestFit="1" customWidth="1"/>
    <col min="2576" max="2813" width="8.88671875" style="2"/>
    <col min="2814" max="2814" width="5.33203125" style="2" customWidth="1"/>
    <col min="2815" max="2815" width="34.44140625" style="2" customWidth="1"/>
    <col min="2816" max="2816" width="12.5546875" style="2" customWidth="1"/>
    <col min="2817" max="2821" width="11.109375" style="2" bestFit="1" customWidth="1"/>
    <col min="2822" max="2827" width="11.44140625" style="2" customWidth="1"/>
    <col min="2828" max="2828" width="15" style="2" customWidth="1"/>
    <col min="2829" max="2829" width="12" style="2" bestFit="1" customWidth="1"/>
    <col min="2830" max="2830" width="22.5546875" style="2" customWidth="1"/>
    <col min="2831" max="2831" width="13.88671875" style="2" bestFit="1" customWidth="1"/>
    <col min="2832" max="3069" width="8.88671875" style="2"/>
    <col min="3070" max="3070" width="5.33203125" style="2" customWidth="1"/>
    <col min="3071" max="3071" width="34.44140625" style="2" customWidth="1"/>
    <col min="3072" max="3072" width="12.5546875" style="2" customWidth="1"/>
    <col min="3073" max="3077" width="11.109375" style="2" bestFit="1" customWidth="1"/>
    <col min="3078" max="3083" width="11.44140625" style="2" customWidth="1"/>
    <col min="3084" max="3084" width="15" style="2" customWidth="1"/>
    <col min="3085" max="3085" width="12" style="2" bestFit="1" customWidth="1"/>
    <col min="3086" max="3086" width="22.5546875" style="2" customWidth="1"/>
    <col min="3087" max="3087" width="13.88671875" style="2" bestFit="1" customWidth="1"/>
    <col min="3088" max="3325" width="8.88671875" style="2"/>
    <col min="3326" max="3326" width="5.33203125" style="2" customWidth="1"/>
    <col min="3327" max="3327" width="34.44140625" style="2" customWidth="1"/>
    <col min="3328" max="3328" width="12.5546875" style="2" customWidth="1"/>
    <col min="3329" max="3333" width="11.109375" style="2" bestFit="1" customWidth="1"/>
    <col min="3334" max="3339" width="11.44140625" style="2" customWidth="1"/>
    <col min="3340" max="3340" width="15" style="2" customWidth="1"/>
    <col min="3341" max="3341" width="12" style="2" bestFit="1" customWidth="1"/>
    <col min="3342" max="3342" width="22.5546875" style="2" customWidth="1"/>
    <col min="3343" max="3343" width="13.88671875" style="2" bestFit="1" customWidth="1"/>
    <col min="3344" max="3581" width="8.88671875" style="2"/>
    <col min="3582" max="3582" width="5.33203125" style="2" customWidth="1"/>
    <col min="3583" max="3583" width="34.44140625" style="2" customWidth="1"/>
    <col min="3584" max="3584" width="12.5546875" style="2" customWidth="1"/>
    <col min="3585" max="3589" width="11.109375" style="2" bestFit="1" customWidth="1"/>
    <col min="3590" max="3595" width="11.44140625" style="2" customWidth="1"/>
    <col min="3596" max="3596" width="15" style="2" customWidth="1"/>
    <col min="3597" max="3597" width="12" style="2" bestFit="1" customWidth="1"/>
    <col min="3598" max="3598" width="22.5546875" style="2" customWidth="1"/>
    <col min="3599" max="3599" width="13.88671875" style="2" bestFit="1" customWidth="1"/>
    <col min="3600" max="3837" width="8.88671875" style="2"/>
    <col min="3838" max="3838" width="5.33203125" style="2" customWidth="1"/>
    <col min="3839" max="3839" width="34.44140625" style="2" customWidth="1"/>
    <col min="3840" max="3840" width="12.5546875" style="2" customWidth="1"/>
    <col min="3841" max="3845" width="11.109375" style="2" bestFit="1" customWidth="1"/>
    <col min="3846" max="3851" width="11.44140625" style="2" customWidth="1"/>
    <col min="3852" max="3852" width="15" style="2" customWidth="1"/>
    <col min="3853" max="3853" width="12" style="2" bestFit="1" customWidth="1"/>
    <col min="3854" max="3854" width="22.5546875" style="2" customWidth="1"/>
    <col min="3855" max="3855" width="13.88671875" style="2" bestFit="1" customWidth="1"/>
    <col min="3856" max="4093" width="8.88671875" style="2"/>
    <col min="4094" max="4094" width="5.33203125" style="2" customWidth="1"/>
    <col min="4095" max="4095" width="34.44140625" style="2" customWidth="1"/>
    <col min="4096" max="4096" width="12.5546875" style="2" customWidth="1"/>
    <col min="4097" max="4101" width="11.109375" style="2" bestFit="1" customWidth="1"/>
    <col min="4102" max="4107" width="11.44140625" style="2" customWidth="1"/>
    <col min="4108" max="4108" width="15" style="2" customWidth="1"/>
    <col min="4109" max="4109" width="12" style="2" bestFit="1" customWidth="1"/>
    <col min="4110" max="4110" width="22.5546875" style="2" customWidth="1"/>
    <col min="4111" max="4111" width="13.88671875" style="2" bestFit="1" customWidth="1"/>
    <col min="4112" max="4349" width="8.88671875" style="2"/>
    <col min="4350" max="4350" width="5.33203125" style="2" customWidth="1"/>
    <col min="4351" max="4351" width="34.44140625" style="2" customWidth="1"/>
    <col min="4352" max="4352" width="12.5546875" style="2" customWidth="1"/>
    <col min="4353" max="4357" width="11.109375" style="2" bestFit="1" customWidth="1"/>
    <col min="4358" max="4363" width="11.44140625" style="2" customWidth="1"/>
    <col min="4364" max="4364" width="15" style="2" customWidth="1"/>
    <col min="4365" max="4365" width="12" style="2" bestFit="1" customWidth="1"/>
    <col min="4366" max="4366" width="22.5546875" style="2" customWidth="1"/>
    <col min="4367" max="4367" width="13.88671875" style="2" bestFit="1" customWidth="1"/>
    <col min="4368" max="4605" width="8.88671875" style="2"/>
    <col min="4606" max="4606" width="5.33203125" style="2" customWidth="1"/>
    <col min="4607" max="4607" width="34.44140625" style="2" customWidth="1"/>
    <col min="4608" max="4608" width="12.5546875" style="2" customWidth="1"/>
    <col min="4609" max="4613" width="11.109375" style="2" bestFit="1" customWidth="1"/>
    <col min="4614" max="4619" width="11.44140625" style="2" customWidth="1"/>
    <col min="4620" max="4620" width="15" style="2" customWidth="1"/>
    <col min="4621" max="4621" width="12" style="2" bestFit="1" customWidth="1"/>
    <col min="4622" max="4622" width="22.5546875" style="2" customWidth="1"/>
    <col min="4623" max="4623" width="13.88671875" style="2" bestFit="1" customWidth="1"/>
    <col min="4624" max="4861" width="8.88671875" style="2"/>
    <col min="4862" max="4862" width="5.33203125" style="2" customWidth="1"/>
    <col min="4863" max="4863" width="34.44140625" style="2" customWidth="1"/>
    <col min="4864" max="4864" width="12.5546875" style="2" customWidth="1"/>
    <col min="4865" max="4869" width="11.109375" style="2" bestFit="1" customWidth="1"/>
    <col min="4870" max="4875" width="11.44140625" style="2" customWidth="1"/>
    <col min="4876" max="4876" width="15" style="2" customWidth="1"/>
    <col min="4877" max="4877" width="12" style="2" bestFit="1" customWidth="1"/>
    <col min="4878" max="4878" width="22.5546875" style="2" customWidth="1"/>
    <col min="4879" max="4879" width="13.88671875" style="2" bestFit="1" customWidth="1"/>
    <col min="4880" max="5117" width="8.88671875" style="2"/>
    <col min="5118" max="5118" width="5.33203125" style="2" customWidth="1"/>
    <col min="5119" max="5119" width="34.44140625" style="2" customWidth="1"/>
    <col min="5120" max="5120" width="12.5546875" style="2" customWidth="1"/>
    <col min="5121" max="5125" width="11.109375" style="2" bestFit="1" customWidth="1"/>
    <col min="5126" max="5131" width="11.44140625" style="2" customWidth="1"/>
    <col min="5132" max="5132" width="15" style="2" customWidth="1"/>
    <col min="5133" max="5133" width="12" style="2" bestFit="1" customWidth="1"/>
    <col min="5134" max="5134" width="22.5546875" style="2" customWidth="1"/>
    <col min="5135" max="5135" width="13.88671875" style="2" bestFit="1" customWidth="1"/>
    <col min="5136" max="5373" width="8.88671875" style="2"/>
    <col min="5374" max="5374" width="5.33203125" style="2" customWidth="1"/>
    <col min="5375" max="5375" width="34.44140625" style="2" customWidth="1"/>
    <col min="5376" max="5376" width="12.5546875" style="2" customWidth="1"/>
    <col min="5377" max="5381" width="11.109375" style="2" bestFit="1" customWidth="1"/>
    <col min="5382" max="5387" width="11.44140625" style="2" customWidth="1"/>
    <col min="5388" max="5388" width="15" style="2" customWidth="1"/>
    <col min="5389" max="5389" width="12" style="2" bestFit="1" customWidth="1"/>
    <col min="5390" max="5390" width="22.5546875" style="2" customWidth="1"/>
    <col min="5391" max="5391" width="13.88671875" style="2" bestFit="1" customWidth="1"/>
    <col min="5392" max="5629" width="8.88671875" style="2"/>
    <col min="5630" max="5630" width="5.33203125" style="2" customWidth="1"/>
    <col min="5631" max="5631" width="34.44140625" style="2" customWidth="1"/>
    <col min="5632" max="5632" width="12.5546875" style="2" customWidth="1"/>
    <col min="5633" max="5637" width="11.109375" style="2" bestFit="1" customWidth="1"/>
    <col min="5638" max="5643" width="11.44140625" style="2" customWidth="1"/>
    <col min="5644" max="5644" width="15" style="2" customWidth="1"/>
    <col min="5645" max="5645" width="12" style="2" bestFit="1" customWidth="1"/>
    <col min="5646" max="5646" width="22.5546875" style="2" customWidth="1"/>
    <col min="5647" max="5647" width="13.88671875" style="2" bestFit="1" customWidth="1"/>
    <col min="5648" max="5885" width="8.88671875" style="2"/>
    <col min="5886" max="5886" width="5.33203125" style="2" customWidth="1"/>
    <col min="5887" max="5887" width="34.44140625" style="2" customWidth="1"/>
    <col min="5888" max="5888" width="12.5546875" style="2" customWidth="1"/>
    <col min="5889" max="5893" width="11.109375" style="2" bestFit="1" customWidth="1"/>
    <col min="5894" max="5899" width="11.44140625" style="2" customWidth="1"/>
    <col min="5900" max="5900" width="15" style="2" customWidth="1"/>
    <col min="5901" max="5901" width="12" style="2" bestFit="1" customWidth="1"/>
    <col min="5902" max="5902" width="22.5546875" style="2" customWidth="1"/>
    <col min="5903" max="5903" width="13.88671875" style="2" bestFit="1" customWidth="1"/>
    <col min="5904" max="6141" width="8.88671875" style="2"/>
    <col min="6142" max="6142" width="5.33203125" style="2" customWidth="1"/>
    <col min="6143" max="6143" width="34.44140625" style="2" customWidth="1"/>
    <col min="6144" max="6144" width="12.5546875" style="2" customWidth="1"/>
    <col min="6145" max="6149" width="11.109375" style="2" bestFit="1" customWidth="1"/>
    <col min="6150" max="6155" width="11.44140625" style="2" customWidth="1"/>
    <col min="6156" max="6156" width="15" style="2" customWidth="1"/>
    <col min="6157" max="6157" width="12" style="2" bestFit="1" customWidth="1"/>
    <col min="6158" max="6158" width="22.5546875" style="2" customWidth="1"/>
    <col min="6159" max="6159" width="13.88671875" style="2" bestFit="1" customWidth="1"/>
    <col min="6160" max="6397" width="8.88671875" style="2"/>
    <col min="6398" max="6398" width="5.33203125" style="2" customWidth="1"/>
    <col min="6399" max="6399" width="34.44140625" style="2" customWidth="1"/>
    <col min="6400" max="6400" width="12.5546875" style="2" customWidth="1"/>
    <col min="6401" max="6405" width="11.109375" style="2" bestFit="1" customWidth="1"/>
    <col min="6406" max="6411" width="11.44140625" style="2" customWidth="1"/>
    <col min="6412" max="6412" width="15" style="2" customWidth="1"/>
    <col min="6413" max="6413" width="12" style="2" bestFit="1" customWidth="1"/>
    <col min="6414" max="6414" width="22.5546875" style="2" customWidth="1"/>
    <col min="6415" max="6415" width="13.88671875" style="2" bestFit="1" customWidth="1"/>
    <col min="6416" max="6653" width="8.88671875" style="2"/>
    <col min="6654" max="6654" width="5.33203125" style="2" customWidth="1"/>
    <col min="6655" max="6655" width="34.44140625" style="2" customWidth="1"/>
    <col min="6656" max="6656" width="12.5546875" style="2" customWidth="1"/>
    <col min="6657" max="6661" width="11.109375" style="2" bestFit="1" customWidth="1"/>
    <col min="6662" max="6667" width="11.44140625" style="2" customWidth="1"/>
    <col min="6668" max="6668" width="15" style="2" customWidth="1"/>
    <col min="6669" max="6669" width="12" style="2" bestFit="1" customWidth="1"/>
    <col min="6670" max="6670" width="22.5546875" style="2" customWidth="1"/>
    <col min="6671" max="6671" width="13.88671875" style="2" bestFit="1" customWidth="1"/>
    <col min="6672" max="6909" width="8.88671875" style="2"/>
    <col min="6910" max="6910" width="5.33203125" style="2" customWidth="1"/>
    <col min="6911" max="6911" width="34.44140625" style="2" customWidth="1"/>
    <col min="6912" max="6912" width="12.5546875" style="2" customWidth="1"/>
    <col min="6913" max="6917" width="11.109375" style="2" bestFit="1" customWidth="1"/>
    <col min="6918" max="6923" width="11.44140625" style="2" customWidth="1"/>
    <col min="6924" max="6924" width="15" style="2" customWidth="1"/>
    <col min="6925" max="6925" width="12" style="2" bestFit="1" customWidth="1"/>
    <col min="6926" max="6926" width="22.5546875" style="2" customWidth="1"/>
    <col min="6927" max="6927" width="13.88671875" style="2" bestFit="1" customWidth="1"/>
    <col min="6928" max="7165" width="8.88671875" style="2"/>
    <col min="7166" max="7166" width="5.33203125" style="2" customWidth="1"/>
    <col min="7167" max="7167" width="34.44140625" style="2" customWidth="1"/>
    <col min="7168" max="7168" width="12.5546875" style="2" customWidth="1"/>
    <col min="7169" max="7173" width="11.109375" style="2" bestFit="1" customWidth="1"/>
    <col min="7174" max="7179" width="11.44140625" style="2" customWidth="1"/>
    <col min="7180" max="7180" width="15" style="2" customWidth="1"/>
    <col min="7181" max="7181" width="12" style="2" bestFit="1" customWidth="1"/>
    <col min="7182" max="7182" width="22.5546875" style="2" customWidth="1"/>
    <col min="7183" max="7183" width="13.88671875" style="2" bestFit="1" customWidth="1"/>
    <col min="7184" max="7421" width="8.88671875" style="2"/>
    <col min="7422" max="7422" width="5.33203125" style="2" customWidth="1"/>
    <col min="7423" max="7423" width="34.44140625" style="2" customWidth="1"/>
    <col min="7424" max="7424" width="12.5546875" style="2" customWidth="1"/>
    <col min="7425" max="7429" width="11.109375" style="2" bestFit="1" customWidth="1"/>
    <col min="7430" max="7435" width="11.44140625" style="2" customWidth="1"/>
    <col min="7436" max="7436" width="15" style="2" customWidth="1"/>
    <col min="7437" max="7437" width="12" style="2" bestFit="1" customWidth="1"/>
    <col min="7438" max="7438" width="22.5546875" style="2" customWidth="1"/>
    <col min="7439" max="7439" width="13.88671875" style="2" bestFit="1" customWidth="1"/>
    <col min="7440" max="7677" width="8.88671875" style="2"/>
    <col min="7678" max="7678" width="5.33203125" style="2" customWidth="1"/>
    <col min="7679" max="7679" width="34.44140625" style="2" customWidth="1"/>
    <col min="7680" max="7680" width="12.5546875" style="2" customWidth="1"/>
    <col min="7681" max="7685" width="11.109375" style="2" bestFit="1" customWidth="1"/>
    <col min="7686" max="7691" width="11.44140625" style="2" customWidth="1"/>
    <col min="7692" max="7692" width="15" style="2" customWidth="1"/>
    <col min="7693" max="7693" width="12" style="2" bestFit="1" customWidth="1"/>
    <col min="7694" max="7694" width="22.5546875" style="2" customWidth="1"/>
    <col min="7695" max="7695" width="13.88671875" style="2" bestFit="1" customWidth="1"/>
    <col min="7696" max="7933" width="8.88671875" style="2"/>
    <col min="7934" max="7934" width="5.33203125" style="2" customWidth="1"/>
    <col min="7935" max="7935" width="34.44140625" style="2" customWidth="1"/>
    <col min="7936" max="7936" width="12.5546875" style="2" customWidth="1"/>
    <col min="7937" max="7941" width="11.109375" style="2" bestFit="1" customWidth="1"/>
    <col min="7942" max="7947" width="11.44140625" style="2" customWidth="1"/>
    <col min="7948" max="7948" width="15" style="2" customWidth="1"/>
    <col min="7949" max="7949" width="12" style="2" bestFit="1" customWidth="1"/>
    <col min="7950" max="7950" width="22.5546875" style="2" customWidth="1"/>
    <col min="7951" max="7951" width="13.88671875" style="2" bestFit="1" customWidth="1"/>
    <col min="7952" max="8189" width="8.88671875" style="2"/>
    <col min="8190" max="8190" width="5.33203125" style="2" customWidth="1"/>
    <col min="8191" max="8191" width="34.44140625" style="2" customWidth="1"/>
    <col min="8192" max="8192" width="12.5546875" style="2" customWidth="1"/>
    <col min="8193" max="8197" width="11.109375" style="2" bestFit="1" customWidth="1"/>
    <col min="8198" max="8203" width="11.44140625" style="2" customWidth="1"/>
    <col min="8204" max="8204" width="15" style="2" customWidth="1"/>
    <col min="8205" max="8205" width="12" style="2" bestFit="1" customWidth="1"/>
    <col min="8206" max="8206" width="22.5546875" style="2" customWidth="1"/>
    <col min="8207" max="8207" width="13.88671875" style="2" bestFit="1" customWidth="1"/>
    <col min="8208" max="8445" width="8.88671875" style="2"/>
    <col min="8446" max="8446" width="5.33203125" style="2" customWidth="1"/>
    <col min="8447" max="8447" width="34.44140625" style="2" customWidth="1"/>
    <col min="8448" max="8448" width="12.5546875" style="2" customWidth="1"/>
    <col min="8449" max="8453" width="11.109375" style="2" bestFit="1" customWidth="1"/>
    <col min="8454" max="8459" width="11.44140625" style="2" customWidth="1"/>
    <col min="8460" max="8460" width="15" style="2" customWidth="1"/>
    <col min="8461" max="8461" width="12" style="2" bestFit="1" customWidth="1"/>
    <col min="8462" max="8462" width="22.5546875" style="2" customWidth="1"/>
    <col min="8463" max="8463" width="13.88671875" style="2" bestFit="1" customWidth="1"/>
    <col min="8464" max="8701" width="8.88671875" style="2"/>
    <col min="8702" max="8702" width="5.33203125" style="2" customWidth="1"/>
    <col min="8703" max="8703" width="34.44140625" style="2" customWidth="1"/>
    <col min="8704" max="8704" width="12.5546875" style="2" customWidth="1"/>
    <col min="8705" max="8709" width="11.109375" style="2" bestFit="1" customWidth="1"/>
    <col min="8710" max="8715" width="11.44140625" style="2" customWidth="1"/>
    <col min="8716" max="8716" width="15" style="2" customWidth="1"/>
    <col min="8717" max="8717" width="12" style="2" bestFit="1" customWidth="1"/>
    <col min="8718" max="8718" width="22.5546875" style="2" customWidth="1"/>
    <col min="8719" max="8719" width="13.88671875" style="2" bestFit="1" customWidth="1"/>
    <col min="8720" max="8957" width="8.88671875" style="2"/>
    <col min="8958" max="8958" width="5.33203125" style="2" customWidth="1"/>
    <col min="8959" max="8959" width="34.44140625" style="2" customWidth="1"/>
    <col min="8960" max="8960" width="12.5546875" style="2" customWidth="1"/>
    <col min="8961" max="8965" width="11.109375" style="2" bestFit="1" customWidth="1"/>
    <col min="8966" max="8971" width="11.44140625" style="2" customWidth="1"/>
    <col min="8972" max="8972" width="15" style="2" customWidth="1"/>
    <col min="8973" max="8973" width="12" style="2" bestFit="1" customWidth="1"/>
    <col min="8974" max="8974" width="22.5546875" style="2" customWidth="1"/>
    <col min="8975" max="8975" width="13.88671875" style="2" bestFit="1" customWidth="1"/>
    <col min="8976" max="9213" width="8.88671875" style="2"/>
    <col min="9214" max="9214" width="5.33203125" style="2" customWidth="1"/>
    <col min="9215" max="9215" width="34.44140625" style="2" customWidth="1"/>
    <col min="9216" max="9216" width="12.5546875" style="2" customWidth="1"/>
    <col min="9217" max="9221" width="11.109375" style="2" bestFit="1" customWidth="1"/>
    <col min="9222" max="9227" width="11.44140625" style="2" customWidth="1"/>
    <col min="9228" max="9228" width="15" style="2" customWidth="1"/>
    <col min="9229" max="9229" width="12" style="2" bestFit="1" customWidth="1"/>
    <col min="9230" max="9230" width="22.5546875" style="2" customWidth="1"/>
    <col min="9231" max="9231" width="13.88671875" style="2" bestFit="1" customWidth="1"/>
    <col min="9232" max="9469" width="8.88671875" style="2"/>
    <col min="9470" max="9470" width="5.33203125" style="2" customWidth="1"/>
    <col min="9471" max="9471" width="34.44140625" style="2" customWidth="1"/>
    <col min="9472" max="9472" width="12.5546875" style="2" customWidth="1"/>
    <col min="9473" max="9477" width="11.109375" style="2" bestFit="1" customWidth="1"/>
    <col min="9478" max="9483" width="11.44140625" style="2" customWidth="1"/>
    <col min="9484" max="9484" width="15" style="2" customWidth="1"/>
    <col min="9485" max="9485" width="12" style="2" bestFit="1" customWidth="1"/>
    <col min="9486" max="9486" width="22.5546875" style="2" customWidth="1"/>
    <col min="9487" max="9487" width="13.88671875" style="2" bestFit="1" customWidth="1"/>
    <col min="9488" max="9725" width="8.88671875" style="2"/>
    <col min="9726" max="9726" width="5.33203125" style="2" customWidth="1"/>
    <col min="9727" max="9727" width="34.44140625" style="2" customWidth="1"/>
    <col min="9728" max="9728" width="12.5546875" style="2" customWidth="1"/>
    <col min="9729" max="9733" width="11.109375" style="2" bestFit="1" customWidth="1"/>
    <col min="9734" max="9739" width="11.44140625" style="2" customWidth="1"/>
    <col min="9740" max="9740" width="15" style="2" customWidth="1"/>
    <col min="9741" max="9741" width="12" style="2" bestFit="1" customWidth="1"/>
    <col min="9742" max="9742" width="22.5546875" style="2" customWidth="1"/>
    <col min="9743" max="9743" width="13.88671875" style="2" bestFit="1" customWidth="1"/>
    <col min="9744" max="9981" width="8.88671875" style="2"/>
    <col min="9982" max="9982" width="5.33203125" style="2" customWidth="1"/>
    <col min="9983" max="9983" width="34.44140625" style="2" customWidth="1"/>
    <col min="9984" max="9984" width="12.5546875" style="2" customWidth="1"/>
    <col min="9985" max="9989" width="11.109375" style="2" bestFit="1" customWidth="1"/>
    <col min="9990" max="9995" width="11.44140625" style="2" customWidth="1"/>
    <col min="9996" max="9996" width="15" style="2" customWidth="1"/>
    <col min="9997" max="9997" width="12" style="2" bestFit="1" customWidth="1"/>
    <col min="9998" max="9998" width="22.5546875" style="2" customWidth="1"/>
    <col min="9999" max="9999" width="13.88671875" style="2" bestFit="1" customWidth="1"/>
    <col min="10000" max="10237" width="8.88671875" style="2"/>
    <col min="10238" max="10238" width="5.33203125" style="2" customWidth="1"/>
    <col min="10239" max="10239" width="34.44140625" style="2" customWidth="1"/>
    <col min="10240" max="10240" width="12.5546875" style="2" customWidth="1"/>
    <col min="10241" max="10245" width="11.109375" style="2" bestFit="1" customWidth="1"/>
    <col min="10246" max="10251" width="11.44140625" style="2" customWidth="1"/>
    <col min="10252" max="10252" width="15" style="2" customWidth="1"/>
    <col min="10253" max="10253" width="12" style="2" bestFit="1" customWidth="1"/>
    <col min="10254" max="10254" width="22.5546875" style="2" customWidth="1"/>
    <col min="10255" max="10255" width="13.88671875" style="2" bestFit="1" customWidth="1"/>
    <col min="10256" max="10493" width="8.88671875" style="2"/>
    <col min="10494" max="10494" width="5.33203125" style="2" customWidth="1"/>
    <col min="10495" max="10495" width="34.44140625" style="2" customWidth="1"/>
    <col min="10496" max="10496" width="12.5546875" style="2" customWidth="1"/>
    <col min="10497" max="10501" width="11.109375" style="2" bestFit="1" customWidth="1"/>
    <col min="10502" max="10507" width="11.44140625" style="2" customWidth="1"/>
    <col min="10508" max="10508" width="15" style="2" customWidth="1"/>
    <col min="10509" max="10509" width="12" style="2" bestFit="1" customWidth="1"/>
    <col min="10510" max="10510" width="22.5546875" style="2" customWidth="1"/>
    <col min="10511" max="10511" width="13.88671875" style="2" bestFit="1" customWidth="1"/>
    <col min="10512" max="10749" width="8.88671875" style="2"/>
    <col min="10750" max="10750" width="5.33203125" style="2" customWidth="1"/>
    <col min="10751" max="10751" width="34.44140625" style="2" customWidth="1"/>
    <col min="10752" max="10752" width="12.5546875" style="2" customWidth="1"/>
    <col min="10753" max="10757" width="11.109375" style="2" bestFit="1" customWidth="1"/>
    <col min="10758" max="10763" width="11.44140625" style="2" customWidth="1"/>
    <col min="10764" max="10764" width="15" style="2" customWidth="1"/>
    <col min="10765" max="10765" width="12" style="2" bestFit="1" customWidth="1"/>
    <col min="10766" max="10766" width="22.5546875" style="2" customWidth="1"/>
    <col min="10767" max="10767" width="13.88671875" style="2" bestFit="1" customWidth="1"/>
    <col min="10768" max="11005" width="8.88671875" style="2"/>
    <col min="11006" max="11006" width="5.33203125" style="2" customWidth="1"/>
    <col min="11007" max="11007" width="34.44140625" style="2" customWidth="1"/>
    <col min="11008" max="11008" width="12.5546875" style="2" customWidth="1"/>
    <col min="11009" max="11013" width="11.109375" style="2" bestFit="1" customWidth="1"/>
    <col min="11014" max="11019" width="11.44140625" style="2" customWidth="1"/>
    <col min="11020" max="11020" width="15" style="2" customWidth="1"/>
    <col min="11021" max="11021" width="12" style="2" bestFit="1" customWidth="1"/>
    <col min="11022" max="11022" width="22.5546875" style="2" customWidth="1"/>
    <col min="11023" max="11023" width="13.88671875" style="2" bestFit="1" customWidth="1"/>
    <col min="11024" max="11261" width="8.88671875" style="2"/>
    <col min="11262" max="11262" width="5.33203125" style="2" customWidth="1"/>
    <col min="11263" max="11263" width="34.44140625" style="2" customWidth="1"/>
    <col min="11264" max="11264" width="12.5546875" style="2" customWidth="1"/>
    <col min="11265" max="11269" width="11.109375" style="2" bestFit="1" customWidth="1"/>
    <col min="11270" max="11275" width="11.44140625" style="2" customWidth="1"/>
    <col min="11276" max="11276" width="15" style="2" customWidth="1"/>
    <col min="11277" max="11277" width="12" style="2" bestFit="1" customWidth="1"/>
    <col min="11278" max="11278" width="22.5546875" style="2" customWidth="1"/>
    <col min="11279" max="11279" width="13.88671875" style="2" bestFit="1" customWidth="1"/>
    <col min="11280" max="11517" width="8.88671875" style="2"/>
    <col min="11518" max="11518" width="5.33203125" style="2" customWidth="1"/>
    <col min="11519" max="11519" width="34.44140625" style="2" customWidth="1"/>
    <col min="11520" max="11520" width="12.5546875" style="2" customWidth="1"/>
    <col min="11521" max="11525" width="11.109375" style="2" bestFit="1" customWidth="1"/>
    <col min="11526" max="11531" width="11.44140625" style="2" customWidth="1"/>
    <col min="11532" max="11532" width="15" style="2" customWidth="1"/>
    <col min="11533" max="11533" width="12" style="2" bestFit="1" customWidth="1"/>
    <col min="11534" max="11534" width="22.5546875" style="2" customWidth="1"/>
    <col min="11535" max="11535" width="13.88671875" style="2" bestFit="1" customWidth="1"/>
    <col min="11536" max="11773" width="8.88671875" style="2"/>
    <col min="11774" max="11774" width="5.33203125" style="2" customWidth="1"/>
    <col min="11775" max="11775" width="34.44140625" style="2" customWidth="1"/>
    <col min="11776" max="11776" width="12.5546875" style="2" customWidth="1"/>
    <col min="11777" max="11781" width="11.109375" style="2" bestFit="1" customWidth="1"/>
    <col min="11782" max="11787" width="11.44140625" style="2" customWidth="1"/>
    <col min="11788" max="11788" width="15" style="2" customWidth="1"/>
    <col min="11789" max="11789" width="12" style="2" bestFit="1" customWidth="1"/>
    <col min="11790" max="11790" width="22.5546875" style="2" customWidth="1"/>
    <col min="11791" max="11791" width="13.88671875" style="2" bestFit="1" customWidth="1"/>
    <col min="11792" max="12029" width="8.88671875" style="2"/>
    <col min="12030" max="12030" width="5.33203125" style="2" customWidth="1"/>
    <col min="12031" max="12031" width="34.44140625" style="2" customWidth="1"/>
    <col min="12032" max="12032" width="12.5546875" style="2" customWidth="1"/>
    <col min="12033" max="12037" width="11.109375" style="2" bestFit="1" customWidth="1"/>
    <col min="12038" max="12043" width="11.44140625" style="2" customWidth="1"/>
    <col min="12044" max="12044" width="15" style="2" customWidth="1"/>
    <col min="12045" max="12045" width="12" style="2" bestFit="1" customWidth="1"/>
    <col min="12046" max="12046" width="22.5546875" style="2" customWidth="1"/>
    <col min="12047" max="12047" width="13.88671875" style="2" bestFit="1" customWidth="1"/>
    <col min="12048" max="12285" width="8.88671875" style="2"/>
    <col min="12286" max="12286" width="5.33203125" style="2" customWidth="1"/>
    <col min="12287" max="12287" width="34.44140625" style="2" customWidth="1"/>
    <col min="12288" max="12288" width="12.5546875" style="2" customWidth="1"/>
    <col min="12289" max="12293" width="11.109375" style="2" bestFit="1" customWidth="1"/>
    <col min="12294" max="12299" width="11.44140625" style="2" customWidth="1"/>
    <col min="12300" max="12300" width="15" style="2" customWidth="1"/>
    <col min="12301" max="12301" width="12" style="2" bestFit="1" customWidth="1"/>
    <col min="12302" max="12302" width="22.5546875" style="2" customWidth="1"/>
    <col min="12303" max="12303" width="13.88671875" style="2" bestFit="1" customWidth="1"/>
    <col min="12304" max="12541" width="8.88671875" style="2"/>
    <col min="12542" max="12542" width="5.33203125" style="2" customWidth="1"/>
    <col min="12543" max="12543" width="34.44140625" style="2" customWidth="1"/>
    <col min="12544" max="12544" width="12.5546875" style="2" customWidth="1"/>
    <col min="12545" max="12549" width="11.109375" style="2" bestFit="1" customWidth="1"/>
    <col min="12550" max="12555" width="11.44140625" style="2" customWidth="1"/>
    <col min="12556" max="12556" width="15" style="2" customWidth="1"/>
    <col min="12557" max="12557" width="12" style="2" bestFit="1" customWidth="1"/>
    <col min="12558" max="12558" width="22.5546875" style="2" customWidth="1"/>
    <col min="12559" max="12559" width="13.88671875" style="2" bestFit="1" customWidth="1"/>
    <col min="12560" max="12797" width="8.88671875" style="2"/>
    <col min="12798" max="12798" width="5.33203125" style="2" customWidth="1"/>
    <col min="12799" max="12799" width="34.44140625" style="2" customWidth="1"/>
    <col min="12800" max="12800" width="12.5546875" style="2" customWidth="1"/>
    <col min="12801" max="12805" width="11.109375" style="2" bestFit="1" customWidth="1"/>
    <col min="12806" max="12811" width="11.44140625" style="2" customWidth="1"/>
    <col min="12812" max="12812" width="15" style="2" customWidth="1"/>
    <col min="12813" max="12813" width="12" style="2" bestFit="1" customWidth="1"/>
    <col min="12814" max="12814" width="22.5546875" style="2" customWidth="1"/>
    <col min="12815" max="12815" width="13.88671875" style="2" bestFit="1" customWidth="1"/>
    <col min="12816" max="13053" width="8.88671875" style="2"/>
    <col min="13054" max="13054" width="5.33203125" style="2" customWidth="1"/>
    <col min="13055" max="13055" width="34.44140625" style="2" customWidth="1"/>
    <col min="13056" max="13056" width="12.5546875" style="2" customWidth="1"/>
    <col min="13057" max="13061" width="11.109375" style="2" bestFit="1" customWidth="1"/>
    <col min="13062" max="13067" width="11.44140625" style="2" customWidth="1"/>
    <col min="13068" max="13068" width="15" style="2" customWidth="1"/>
    <col min="13069" max="13069" width="12" style="2" bestFit="1" customWidth="1"/>
    <col min="13070" max="13070" width="22.5546875" style="2" customWidth="1"/>
    <col min="13071" max="13071" width="13.88671875" style="2" bestFit="1" customWidth="1"/>
    <col min="13072" max="13309" width="8.88671875" style="2"/>
    <col min="13310" max="13310" width="5.33203125" style="2" customWidth="1"/>
    <col min="13311" max="13311" width="34.44140625" style="2" customWidth="1"/>
    <col min="13312" max="13312" width="12.5546875" style="2" customWidth="1"/>
    <col min="13313" max="13317" width="11.109375" style="2" bestFit="1" customWidth="1"/>
    <col min="13318" max="13323" width="11.44140625" style="2" customWidth="1"/>
    <col min="13324" max="13324" width="15" style="2" customWidth="1"/>
    <col min="13325" max="13325" width="12" style="2" bestFit="1" customWidth="1"/>
    <col min="13326" max="13326" width="22.5546875" style="2" customWidth="1"/>
    <col min="13327" max="13327" width="13.88671875" style="2" bestFit="1" customWidth="1"/>
    <col min="13328" max="13565" width="8.88671875" style="2"/>
    <col min="13566" max="13566" width="5.33203125" style="2" customWidth="1"/>
    <col min="13567" max="13567" width="34.44140625" style="2" customWidth="1"/>
    <col min="13568" max="13568" width="12.5546875" style="2" customWidth="1"/>
    <col min="13569" max="13573" width="11.109375" style="2" bestFit="1" customWidth="1"/>
    <col min="13574" max="13579" width="11.44140625" style="2" customWidth="1"/>
    <col min="13580" max="13580" width="15" style="2" customWidth="1"/>
    <col min="13581" max="13581" width="12" style="2" bestFit="1" customWidth="1"/>
    <col min="13582" max="13582" width="22.5546875" style="2" customWidth="1"/>
    <col min="13583" max="13583" width="13.88671875" style="2" bestFit="1" customWidth="1"/>
    <col min="13584" max="13821" width="8.88671875" style="2"/>
    <col min="13822" max="13822" width="5.33203125" style="2" customWidth="1"/>
    <col min="13823" max="13823" width="34.44140625" style="2" customWidth="1"/>
    <col min="13824" max="13824" width="12.5546875" style="2" customWidth="1"/>
    <col min="13825" max="13829" width="11.109375" style="2" bestFit="1" customWidth="1"/>
    <col min="13830" max="13835" width="11.44140625" style="2" customWidth="1"/>
    <col min="13836" max="13836" width="15" style="2" customWidth="1"/>
    <col min="13837" max="13837" width="12" style="2" bestFit="1" customWidth="1"/>
    <col min="13838" max="13838" width="22.5546875" style="2" customWidth="1"/>
    <col min="13839" max="13839" width="13.88671875" style="2" bestFit="1" customWidth="1"/>
    <col min="13840" max="14077" width="8.88671875" style="2"/>
    <col min="14078" max="14078" width="5.33203125" style="2" customWidth="1"/>
    <col min="14079" max="14079" width="34.44140625" style="2" customWidth="1"/>
    <col min="14080" max="14080" width="12.5546875" style="2" customWidth="1"/>
    <col min="14081" max="14085" width="11.109375" style="2" bestFit="1" customWidth="1"/>
    <col min="14086" max="14091" width="11.44140625" style="2" customWidth="1"/>
    <col min="14092" max="14092" width="15" style="2" customWidth="1"/>
    <col min="14093" max="14093" width="12" style="2" bestFit="1" customWidth="1"/>
    <col min="14094" max="14094" width="22.5546875" style="2" customWidth="1"/>
    <col min="14095" max="14095" width="13.88671875" style="2" bestFit="1" customWidth="1"/>
    <col min="14096" max="14333" width="8.88671875" style="2"/>
    <col min="14334" max="14334" width="5.33203125" style="2" customWidth="1"/>
    <col min="14335" max="14335" width="34.44140625" style="2" customWidth="1"/>
    <col min="14336" max="14336" width="12.5546875" style="2" customWidth="1"/>
    <col min="14337" max="14341" width="11.109375" style="2" bestFit="1" customWidth="1"/>
    <col min="14342" max="14347" width="11.44140625" style="2" customWidth="1"/>
    <col min="14348" max="14348" width="15" style="2" customWidth="1"/>
    <col min="14349" max="14349" width="12" style="2" bestFit="1" customWidth="1"/>
    <col min="14350" max="14350" width="22.5546875" style="2" customWidth="1"/>
    <col min="14351" max="14351" width="13.88671875" style="2" bestFit="1" customWidth="1"/>
    <col min="14352" max="14589" width="8.88671875" style="2"/>
    <col min="14590" max="14590" width="5.33203125" style="2" customWidth="1"/>
    <col min="14591" max="14591" width="34.44140625" style="2" customWidth="1"/>
    <col min="14592" max="14592" width="12.5546875" style="2" customWidth="1"/>
    <col min="14593" max="14597" width="11.109375" style="2" bestFit="1" customWidth="1"/>
    <col min="14598" max="14603" width="11.44140625" style="2" customWidth="1"/>
    <col min="14604" max="14604" width="15" style="2" customWidth="1"/>
    <col min="14605" max="14605" width="12" style="2" bestFit="1" customWidth="1"/>
    <col min="14606" max="14606" width="22.5546875" style="2" customWidth="1"/>
    <col min="14607" max="14607" width="13.88671875" style="2" bestFit="1" customWidth="1"/>
    <col min="14608" max="14845" width="8.88671875" style="2"/>
    <col min="14846" max="14846" width="5.33203125" style="2" customWidth="1"/>
    <col min="14847" max="14847" width="34.44140625" style="2" customWidth="1"/>
    <col min="14848" max="14848" width="12.5546875" style="2" customWidth="1"/>
    <col min="14849" max="14853" width="11.109375" style="2" bestFit="1" customWidth="1"/>
    <col min="14854" max="14859" width="11.44140625" style="2" customWidth="1"/>
    <col min="14860" max="14860" width="15" style="2" customWidth="1"/>
    <col min="14861" max="14861" width="12" style="2" bestFit="1" customWidth="1"/>
    <col min="14862" max="14862" width="22.5546875" style="2" customWidth="1"/>
    <col min="14863" max="14863" width="13.88671875" style="2" bestFit="1" customWidth="1"/>
    <col min="14864" max="15101" width="8.88671875" style="2"/>
    <col min="15102" max="15102" width="5.33203125" style="2" customWidth="1"/>
    <col min="15103" max="15103" width="34.44140625" style="2" customWidth="1"/>
    <col min="15104" max="15104" width="12.5546875" style="2" customWidth="1"/>
    <col min="15105" max="15109" width="11.109375" style="2" bestFit="1" customWidth="1"/>
    <col min="15110" max="15115" width="11.44140625" style="2" customWidth="1"/>
    <col min="15116" max="15116" width="15" style="2" customWidth="1"/>
    <col min="15117" max="15117" width="12" style="2" bestFit="1" customWidth="1"/>
    <col min="15118" max="15118" width="22.5546875" style="2" customWidth="1"/>
    <col min="15119" max="15119" width="13.88671875" style="2" bestFit="1" customWidth="1"/>
    <col min="15120" max="15357" width="8.88671875" style="2"/>
    <col min="15358" max="15358" width="5.33203125" style="2" customWidth="1"/>
    <col min="15359" max="15359" width="34.44140625" style="2" customWidth="1"/>
    <col min="15360" max="15360" width="12.5546875" style="2" customWidth="1"/>
    <col min="15361" max="15365" width="11.109375" style="2" bestFit="1" customWidth="1"/>
    <col min="15366" max="15371" width="11.44140625" style="2" customWidth="1"/>
    <col min="15372" max="15372" width="15" style="2" customWidth="1"/>
    <col min="15373" max="15373" width="12" style="2" bestFit="1" customWidth="1"/>
    <col min="15374" max="15374" width="22.5546875" style="2" customWidth="1"/>
    <col min="15375" max="15375" width="13.88671875" style="2" bestFit="1" customWidth="1"/>
    <col min="15376" max="15613" width="8.88671875" style="2"/>
    <col min="15614" max="15614" width="5.33203125" style="2" customWidth="1"/>
    <col min="15615" max="15615" width="34.44140625" style="2" customWidth="1"/>
    <col min="15616" max="15616" width="12.5546875" style="2" customWidth="1"/>
    <col min="15617" max="15621" width="11.109375" style="2" bestFit="1" customWidth="1"/>
    <col min="15622" max="15627" width="11.44140625" style="2" customWidth="1"/>
    <col min="15628" max="15628" width="15" style="2" customWidth="1"/>
    <col min="15629" max="15629" width="12" style="2" bestFit="1" customWidth="1"/>
    <col min="15630" max="15630" width="22.5546875" style="2" customWidth="1"/>
    <col min="15631" max="15631" width="13.88671875" style="2" bestFit="1" customWidth="1"/>
    <col min="15632" max="15869" width="8.88671875" style="2"/>
    <col min="15870" max="15870" width="5.33203125" style="2" customWidth="1"/>
    <col min="15871" max="15871" width="34.44140625" style="2" customWidth="1"/>
    <col min="15872" max="15872" width="12.5546875" style="2" customWidth="1"/>
    <col min="15873" max="15877" width="11.109375" style="2" bestFit="1" customWidth="1"/>
    <col min="15878" max="15883" width="11.44140625" style="2" customWidth="1"/>
    <col min="15884" max="15884" width="15" style="2" customWidth="1"/>
    <col min="15885" max="15885" width="12" style="2" bestFit="1" customWidth="1"/>
    <col min="15886" max="15886" width="22.5546875" style="2" customWidth="1"/>
    <col min="15887" max="15887" width="13.88671875" style="2" bestFit="1" customWidth="1"/>
    <col min="15888" max="16125" width="8.88671875" style="2"/>
    <col min="16126" max="16126" width="5.33203125" style="2" customWidth="1"/>
    <col min="16127" max="16127" width="34.44140625" style="2" customWidth="1"/>
    <col min="16128" max="16128" width="12.5546875" style="2" customWidth="1"/>
    <col min="16129" max="16133" width="11.109375" style="2" bestFit="1" customWidth="1"/>
    <col min="16134" max="16139" width="11.44140625" style="2" customWidth="1"/>
    <col min="16140" max="16140" width="15" style="2" customWidth="1"/>
    <col min="16141" max="16141" width="12" style="2" bestFit="1" customWidth="1"/>
    <col min="16142" max="16142" width="22.5546875" style="2" customWidth="1"/>
    <col min="16143" max="16143" width="13.88671875" style="2" bestFit="1" customWidth="1"/>
    <col min="16144" max="16384" width="8.88671875" style="2"/>
  </cols>
  <sheetData>
    <row r="1" spans="1:15" s="1" customFormat="1" ht="14.4" x14ac:dyDescent="0.3">
      <c r="A1" s="35" t="s">
        <v>126</v>
      </c>
      <c r="B1" s="31" t="s">
        <v>127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  <c r="I1" s="3" t="s">
        <v>26</v>
      </c>
      <c r="J1" s="3" t="s">
        <v>27</v>
      </c>
      <c r="K1" s="6" t="s">
        <v>28</v>
      </c>
      <c r="L1" s="3" t="s">
        <v>29</v>
      </c>
      <c r="M1" s="3" t="s">
        <v>96</v>
      </c>
      <c r="N1" s="3" t="s">
        <v>97</v>
      </c>
      <c r="O1" s="32" t="s">
        <v>128</v>
      </c>
    </row>
    <row r="2" spans="1:15" ht="14.4" x14ac:dyDescent="0.3">
      <c r="A2" s="36" t="s">
        <v>122</v>
      </c>
      <c r="B2" s="26" t="s">
        <v>34</v>
      </c>
      <c r="C2" s="4">
        <v>3961</v>
      </c>
      <c r="D2" s="4">
        <v>3376</v>
      </c>
      <c r="E2" s="4">
        <v>4012</v>
      </c>
      <c r="F2" s="4">
        <v>1426</v>
      </c>
      <c r="G2" s="4">
        <v>3359</v>
      </c>
      <c r="H2" s="4">
        <v>1669</v>
      </c>
      <c r="I2" s="4">
        <v>2733</v>
      </c>
      <c r="J2" s="4">
        <v>3599</v>
      </c>
      <c r="K2" s="4">
        <v>3816</v>
      </c>
      <c r="L2" s="5">
        <v>7307</v>
      </c>
      <c r="M2" s="5">
        <v>5921</v>
      </c>
      <c r="N2" s="5">
        <v>5774</v>
      </c>
      <c r="O2" s="21">
        <f>SUM(C2:N2)</f>
        <v>46953</v>
      </c>
    </row>
    <row r="3" spans="1:15" ht="14.4" x14ac:dyDescent="0.3">
      <c r="A3" s="36" t="s">
        <v>121</v>
      </c>
      <c r="B3" s="26" t="s">
        <v>30</v>
      </c>
      <c r="C3" s="4">
        <v>814</v>
      </c>
      <c r="D3" s="4">
        <v>711</v>
      </c>
      <c r="E3" s="4">
        <v>1117</v>
      </c>
      <c r="F3" s="4">
        <v>592</v>
      </c>
      <c r="G3" s="4">
        <v>440</v>
      </c>
      <c r="H3" s="4">
        <v>776</v>
      </c>
      <c r="I3" s="4">
        <v>749</v>
      </c>
      <c r="J3" s="4">
        <v>1372</v>
      </c>
      <c r="K3" s="4">
        <v>1221</v>
      </c>
      <c r="L3" s="4">
        <v>2291</v>
      </c>
      <c r="M3" s="4">
        <v>2255</v>
      </c>
      <c r="N3" s="4">
        <v>2238</v>
      </c>
      <c r="O3" s="21">
        <f t="shared" ref="O3:O50" si="0">SUM(C3:N3)</f>
        <v>14576</v>
      </c>
    </row>
    <row r="4" spans="1:15" ht="14.4" x14ac:dyDescent="0.3">
      <c r="A4" s="36" t="s">
        <v>121</v>
      </c>
      <c r="B4" s="26" t="s">
        <v>0</v>
      </c>
      <c r="C4" s="4">
        <v>155878</v>
      </c>
      <c r="D4" s="4">
        <v>177314</v>
      </c>
      <c r="E4" s="4">
        <v>159767</v>
      </c>
      <c r="F4" s="4">
        <v>113287</v>
      </c>
      <c r="G4" s="4">
        <v>145569</v>
      </c>
      <c r="H4" s="4">
        <v>124686</v>
      </c>
      <c r="I4" s="4">
        <v>112376</v>
      </c>
      <c r="J4" s="4">
        <v>130443</v>
      </c>
      <c r="K4" s="4">
        <v>132745</v>
      </c>
      <c r="L4" s="4">
        <v>105071</v>
      </c>
      <c r="M4" s="4">
        <v>107169</v>
      </c>
      <c r="N4" s="4">
        <v>105930</v>
      </c>
      <c r="O4" s="21">
        <f t="shared" si="0"/>
        <v>1570235</v>
      </c>
    </row>
    <row r="5" spans="1:15" ht="14.4" x14ac:dyDescent="0.3">
      <c r="A5" s="36" t="s">
        <v>121</v>
      </c>
      <c r="B5" s="26" t="s">
        <v>1</v>
      </c>
      <c r="C5" s="4">
        <v>4419</v>
      </c>
      <c r="D5" s="4">
        <v>3075</v>
      </c>
      <c r="E5" s="4">
        <v>3308</v>
      </c>
      <c r="F5" s="4">
        <v>1999</v>
      </c>
      <c r="G5" s="4">
        <v>3440</v>
      </c>
      <c r="H5" s="4">
        <v>2030</v>
      </c>
      <c r="I5" s="4">
        <v>1216</v>
      </c>
      <c r="J5" s="4">
        <v>3318</v>
      </c>
      <c r="K5" s="4">
        <v>3661</v>
      </c>
      <c r="L5" s="4">
        <v>6846</v>
      </c>
      <c r="M5" s="4">
        <v>3577</v>
      </c>
      <c r="N5" s="4">
        <v>3527</v>
      </c>
      <c r="O5" s="21">
        <f t="shared" si="0"/>
        <v>40416</v>
      </c>
    </row>
    <row r="6" spans="1:15" ht="14.4" x14ac:dyDescent="0.3">
      <c r="A6" s="36" t="s">
        <v>123</v>
      </c>
      <c r="B6" s="26" t="s">
        <v>98</v>
      </c>
      <c r="C6" s="4">
        <v>12999</v>
      </c>
      <c r="D6" s="4">
        <v>10744</v>
      </c>
      <c r="E6" s="4">
        <v>5881</v>
      </c>
      <c r="F6" s="4">
        <v>3196</v>
      </c>
      <c r="G6" s="4">
        <v>3156</v>
      </c>
      <c r="H6" s="4">
        <v>2598</v>
      </c>
      <c r="I6" s="4">
        <v>2013</v>
      </c>
      <c r="J6" s="4">
        <v>2737</v>
      </c>
      <c r="K6" s="4">
        <v>4211</v>
      </c>
      <c r="L6" s="4">
        <v>3353</v>
      </c>
      <c r="M6" s="4">
        <v>2819</v>
      </c>
      <c r="N6" s="4">
        <v>2784</v>
      </c>
      <c r="O6" s="21">
        <f t="shared" si="0"/>
        <v>56491</v>
      </c>
    </row>
    <row r="7" spans="1:15" ht="14.4" x14ac:dyDescent="0.3">
      <c r="A7" s="36" t="s">
        <v>124</v>
      </c>
      <c r="B7" s="26" t="s">
        <v>99</v>
      </c>
      <c r="C7" s="4">
        <v>459</v>
      </c>
      <c r="D7" s="4">
        <v>1989</v>
      </c>
      <c r="E7" s="4">
        <v>592</v>
      </c>
      <c r="F7" s="4">
        <v>671</v>
      </c>
      <c r="G7" s="4">
        <v>3836</v>
      </c>
      <c r="H7" s="4">
        <v>2172</v>
      </c>
      <c r="I7" s="4">
        <v>1399</v>
      </c>
      <c r="J7" s="4">
        <v>1261</v>
      </c>
      <c r="K7" s="4">
        <v>1704</v>
      </c>
      <c r="L7" s="4">
        <v>1826</v>
      </c>
      <c r="M7" s="4">
        <v>1367</v>
      </c>
      <c r="N7" s="4">
        <v>1336</v>
      </c>
      <c r="O7" s="21">
        <f t="shared" si="0"/>
        <v>18612</v>
      </c>
    </row>
    <row r="8" spans="1:15" ht="14.4" x14ac:dyDescent="0.3">
      <c r="A8" s="36" t="s">
        <v>124</v>
      </c>
      <c r="B8" s="26" t="s">
        <v>100</v>
      </c>
      <c r="C8" s="4">
        <v>2871</v>
      </c>
      <c r="D8" s="4">
        <v>3269</v>
      </c>
      <c r="E8" s="4">
        <v>2577</v>
      </c>
      <c r="F8" s="4">
        <v>6630</v>
      </c>
      <c r="G8" s="4">
        <v>5734</v>
      </c>
      <c r="H8" s="4">
        <v>7657</v>
      </c>
      <c r="I8" s="4">
        <v>6547</v>
      </c>
      <c r="J8" s="4">
        <v>6651</v>
      </c>
      <c r="K8" s="4">
        <v>6784</v>
      </c>
      <c r="L8" s="5">
        <v>6974</v>
      </c>
      <c r="M8" s="5">
        <v>6776</v>
      </c>
      <c r="N8" s="5">
        <v>6747</v>
      </c>
      <c r="O8" s="21">
        <f t="shared" si="0"/>
        <v>69217</v>
      </c>
    </row>
    <row r="9" spans="1:15" ht="14.4" x14ac:dyDescent="0.3">
      <c r="A9" s="36" t="s">
        <v>124</v>
      </c>
      <c r="B9" s="26" t="s">
        <v>38</v>
      </c>
      <c r="C9" s="4">
        <v>2278</v>
      </c>
      <c r="D9" s="4">
        <v>2470</v>
      </c>
      <c r="E9" s="4">
        <v>1377</v>
      </c>
      <c r="F9" s="4">
        <v>961</v>
      </c>
      <c r="G9" s="4">
        <v>2248</v>
      </c>
      <c r="H9" s="4">
        <v>1774</v>
      </c>
      <c r="I9" s="4">
        <v>1219</v>
      </c>
      <c r="J9" s="4">
        <v>2418</v>
      </c>
      <c r="K9" s="4">
        <v>2520</v>
      </c>
      <c r="L9" s="5">
        <v>2194</v>
      </c>
      <c r="M9" s="5">
        <v>2143</v>
      </c>
      <c r="N9" s="5">
        <v>2069</v>
      </c>
      <c r="O9" s="21">
        <f t="shared" si="0"/>
        <v>23671</v>
      </c>
    </row>
    <row r="10" spans="1:15" ht="14.4" x14ac:dyDescent="0.3">
      <c r="A10" s="36" t="s">
        <v>124</v>
      </c>
      <c r="B10" s="26" t="s">
        <v>39</v>
      </c>
      <c r="C10" s="4">
        <v>1837</v>
      </c>
      <c r="D10" s="4">
        <v>3153</v>
      </c>
      <c r="E10" s="4">
        <v>3801</v>
      </c>
      <c r="F10" s="4">
        <v>2649</v>
      </c>
      <c r="G10" s="4">
        <v>4177</v>
      </c>
      <c r="H10" s="4">
        <v>5555</v>
      </c>
      <c r="I10" s="4">
        <v>4134</v>
      </c>
      <c r="J10" s="4">
        <v>4518</v>
      </c>
      <c r="K10" s="4">
        <v>4096</v>
      </c>
      <c r="L10" s="5">
        <v>4978</v>
      </c>
      <c r="M10" s="5">
        <v>4950</v>
      </c>
      <c r="N10" s="5">
        <v>4888</v>
      </c>
      <c r="O10" s="21">
        <f t="shared" si="0"/>
        <v>48736</v>
      </c>
    </row>
    <row r="11" spans="1:15" ht="14.4" x14ac:dyDescent="0.3">
      <c r="A11" s="36" t="s">
        <v>122</v>
      </c>
      <c r="B11" s="26" t="s">
        <v>101</v>
      </c>
      <c r="C11" s="4">
        <v>1369</v>
      </c>
      <c r="D11" s="4">
        <v>2448</v>
      </c>
      <c r="E11" s="4">
        <v>1880</v>
      </c>
      <c r="F11" s="4">
        <v>1156</v>
      </c>
      <c r="G11" s="4">
        <v>1285</v>
      </c>
      <c r="H11" s="4">
        <v>1043</v>
      </c>
      <c r="I11" s="4">
        <v>803</v>
      </c>
      <c r="J11" s="4">
        <v>1363</v>
      </c>
      <c r="K11" s="4">
        <v>1379</v>
      </c>
      <c r="L11" s="5">
        <v>1275</v>
      </c>
      <c r="M11" s="5">
        <v>1246</v>
      </c>
      <c r="N11" s="5">
        <v>1143</v>
      </c>
      <c r="O11" s="21">
        <f t="shared" si="0"/>
        <v>16390</v>
      </c>
    </row>
    <row r="12" spans="1:15" ht="14.4" x14ac:dyDescent="0.3">
      <c r="A12" s="36" t="s">
        <v>122</v>
      </c>
      <c r="B12" s="26" t="s">
        <v>102</v>
      </c>
      <c r="C12" s="4">
        <v>1776</v>
      </c>
      <c r="D12" s="4">
        <v>3465</v>
      </c>
      <c r="E12" s="4">
        <v>2442</v>
      </c>
      <c r="F12" s="4">
        <v>2066</v>
      </c>
      <c r="G12" s="4">
        <v>2801</v>
      </c>
      <c r="H12" s="4">
        <v>1243</v>
      </c>
      <c r="I12" s="4">
        <v>1576</v>
      </c>
      <c r="J12" s="4">
        <v>2510</v>
      </c>
      <c r="K12" s="4">
        <v>2041</v>
      </c>
      <c r="L12" s="5">
        <v>1223</v>
      </c>
      <c r="M12" s="5">
        <v>1195</v>
      </c>
      <c r="N12" s="5">
        <v>1199</v>
      </c>
      <c r="O12" s="21">
        <f t="shared" si="0"/>
        <v>23537</v>
      </c>
    </row>
    <row r="13" spans="1:15" ht="14.4" x14ac:dyDescent="0.3">
      <c r="A13" s="36" t="s">
        <v>122</v>
      </c>
      <c r="B13" s="26" t="s">
        <v>103</v>
      </c>
      <c r="C13" s="4">
        <v>2205</v>
      </c>
      <c r="D13" s="4">
        <v>1324</v>
      </c>
      <c r="E13" s="4">
        <v>1791</v>
      </c>
      <c r="F13" s="4">
        <v>1690</v>
      </c>
      <c r="G13" s="4">
        <v>2176</v>
      </c>
      <c r="H13" s="4">
        <v>1883</v>
      </c>
      <c r="I13" s="4">
        <v>1611</v>
      </c>
      <c r="J13" s="4">
        <v>1663</v>
      </c>
      <c r="K13" s="4">
        <v>1802</v>
      </c>
      <c r="L13" s="5">
        <v>1395</v>
      </c>
      <c r="M13" s="5">
        <v>1371</v>
      </c>
      <c r="N13" s="5">
        <v>1365</v>
      </c>
      <c r="O13" s="21">
        <f t="shared" si="0"/>
        <v>20276</v>
      </c>
    </row>
    <row r="14" spans="1:15" ht="14.4" x14ac:dyDescent="0.3">
      <c r="A14" s="36" t="s">
        <v>122</v>
      </c>
      <c r="B14" s="26" t="s">
        <v>4</v>
      </c>
      <c r="C14" s="4">
        <v>2167</v>
      </c>
      <c r="D14" s="4">
        <v>2808</v>
      </c>
      <c r="E14" s="4">
        <v>2408</v>
      </c>
      <c r="F14" s="4">
        <v>2559</v>
      </c>
      <c r="G14" s="4">
        <v>4307</v>
      </c>
      <c r="H14" s="4">
        <v>2940</v>
      </c>
      <c r="I14" s="4">
        <v>1920</v>
      </c>
      <c r="J14" s="4">
        <v>2354</v>
      </c>
      <c r="K14" s="4">
        <v>1830</v>
      </c>
      <c r="L14" s="4">
        <v>1580</v>
      </c>
      <c r="M14" s="4">
        <v>1549</v>
      </c>
      <c r="N14" s="4">
        <v>1523</v>
      </c>
      <c r="O14" s="21">
        <f t="shared" si="0"/>
        <v>27945</v>
      </c>
    </row>
    <row r="15" spans="1:15" ht="14.4" x14ac:dyDescent="0.3">
      <c r="A15" s="36" t="s">
        <v>123</v>
      </c>
      <c r="B15" s="26" t="s">
        <v>104</v>
      </c>
      <c r="C15" s="4">
        <v>52009</v>
      </c>
      <c r="D15" s="4">
        <v>45720</v>
      </c>
      <c r="E15" s="4">
        <v>43278</v>
      </c>
      <c r="F15" s="4">
        <v>18674</v>
      </c>
      <c r="G15" s="4">
        <v>13444</v>
      </c>
      <c r="H15" s="4">
        <v>7830</v>
      </c>
      <c r="I15" s="4">
        <v>8360</v>
      </c>
      <c r="J15" s="4">
        <v>10066</v>
      </c>
      <c r="K15" s="4">
        <v>7918</v>
      </c>
      <c r="L15" s="5">
        <v>14671</v>
      </c>
      <c r="M15" s="5">
        <v>14348</v>
      </c>
      <c r="N15" s="5">
        <v>14273</v>
      </c>
      <c r="O15" s="21">
        <f t="shared" si="0"/>
        <v>250591</v>
      </c>
    </row>
    <row r="16" spans="1:15" ht="14.4" x14ac:dyDescent="0.3">
      <c r="A16" s="36" t="s">
        <v>123</v>
      </c>
      <c r="B16" s="26" t="s">
        <v>105</v>
      </c>
      <c r="C16" s="4">
        <v>2473</v>
      </c>
      <c r="D16" s="4">
        <v>3895</v>
      </c>
      <c r="E16" s="4">
        <v>2635</v>
      </c>
      <c r="F16" s="4">
        <v>1541</v>
      </c>
      <c r="G16" s="4">
        <v>6009</v>
      </c>
      <c r="H16" s="4">
        <v>7359</v>
      </c>
      <c r="I16" s="4">
        <v>8485</v>
      </c>
      <c r="J16" s="4">
        <v>10742</v>
      </c>
      <c r="K16" s="4">
        <v>9128</v>
      </c>
      <c r="L16" s="5">
        <v>6919</v>
      </c>
      <c r="M16" s="5">
        <v>6839</v>
      </c>
      <c r="N16" s="5">
        <v>6788</v>
      </c>
      <c r="O16" s="21">
        <f t="shared" si="0"/>
        <v>72813</v>
      </c>
    </row>
    <row r="17" spans="1:15" ht="14.4" x14ac:dyDescent="0.3">
      <c r="A17" s="36" t="s">
        <v>123</v>
      </c>
      <c r="B17" s="26" t="s">
        <v>106</v>
      </c>
      <c r="C17" s="4">
        <v>2581</v>
      </c>
      <c r="D17" s="4">
        <v>2375</v>
      </c>
      <c r="E17" s="4">
        <v>1720</v>
      </c>
      <c r="F17" s="4">
        <v>1950</v>
      </c>
      <c r="G17" s="4">
        <v>5428</v>
      </c>
      <c r="H17" s="4">
        <v>4508</v>
      </c>
      <c r="I17" s="4">
        <v>5119</v>
      </c>
      <c r="J17" s="4">
        <v>8805</v>
      </c>
      <c r="K17" s="4">
        <v>9112</v>
      </c>
      <c r="L17" s="5">
        <v>9526</v>
      </c>
      <c r="M17" s="5">
        <v>9204</v>
      </c>
      <c r="N17" s="5">
        <v>9084</v>
      </c>
      <c r="O17" s="21">
        <f t="shared" si="0"/>
        <v>69412</v>
      </c>
    </row>
    <row r="18" spans="1:15" ht="14.4" x14ac:dyDescent="0.3">
      <c r="A18" s="36" t="s">
        <v>122</v>
      </c>
      <c r="B18" s="26" t="s">
        <v>6</v>
      </c>
      <c r="C18" s="4">
        <v>852</v>
      </c>
      <c r="D18" s="4">
        <v>1483</v>
      </c>
      <c r="E18" s="4">
        <v>1008</v>
      </c>
      <c r="F18" s="4">
        <v>785</v>
      </c>
      <c r="G18" s="4">
        <v>1504</v>
      </c>
      <c r="H18" s="4">
        <v>1085</v>
      </c>
      <c r="I18" s="4">
        <v>1399</v>
      </c>
      <c r="J18" s="4">
        <v>1340</v>
      </c>
      <c r="K18" s="4">
        <v>1141</v>
      </c>
      <c r="L18" s="5">
        <v>2083</v>
      </c>
      <c r="M18" s="5">
        <v>1871</v>
      </c>
      <c r="N18" s="5">
        <v>1857</v>
      </c>
      <c r="O18" s="21">
        <f t="shared" si="0"/>
        <v>16408</v>
      </c>
    </row>
    <row r="19" spans="1:15" ht="14.4" x14ac:dyDescent="0.3">
      <c r="A19" s="36" t="s">
        <v>124</v>
      </c>
      <c r="B19" s="26" t="s">
        <v>44</v>
      </c>
      <c r="C19" s="4">
        <v>3701</v>
      </c>
      <c r="D19" s="4">
        <v>3717</v>
      </c>
      <c r="E19" s="4">
        <v>3830</v>
      </c>
      <c r="F19" s="4">
        <v>4829</v>
      </c>
      <c r="G19" s="4">
        <v>7789</v>
      </c>
      <c r="H19" s="4">
        <v>6014</v>
      </c>
      <c r="I19" s="4">
        <v>3338</v>
      </c>
      <c r="J19" s="4">
        <v>4758</v>
      </c>
      <c r="K19" s="4">
        <v>5164</v>
      </c>
      <c r="L19" s="5">
        <v>7722</v>
      </c>
      <c r="M19" s="5">
        <v>7569</v>
      </c>
      <c r="N19" s="5">
        <v>7524</v>
      </c>
      <c r="O19" s="21">
        <f t="shared" si="0"/>
        <v>65955</v>
      </c>
    </row>
    <row r="20" spans="1:15" ht="14.4" x14ac:dyDescent="0.3">
      <c r="A20" s="36" t="s">
        <v>124</v>
      </c>
      <c r="B20" s="26" t="s">
        <v>7</v>
      </c>
      <c r="C20" s="4">
        <v>29814</v>
      </c>
      <c r="D20" s="4">
        <v>24141</v>
      </c>
      <c r="E20" s="4">
        <v>9755</v>
      </c>
      <c r="F20" s="4">
        <v>2266</v>
      </c>
      <c r="G20" s="4">
        <v>6909</v>
      </c>
      <c r="H20" s="4">
        <v>6572</v>
      </c>
      <c r="I20" s="4">
        <v>2799</v>
      </c>
      <c r="J20" s="4">
        <v>5283</v>
      </c>
      <c r="K20" s="4">
        <v>5903</v>
      </c>
      <c r="L20" s="5">
        <v>4586</v>
      </c>
      <c r="M20" s="5">
        <v>4795</v>
      </c>
      <c r="N20" s="5">
        <v>4763</v>
      </c>
      <c r="O20" s="21">
        <f t="shared" si="0"/>
        <v>107586</v>
      </c>
    </row>
    <row r="21" spans="1:15" ht="14.4" x14ac:dyDescent="0.3">
      <c r="A21" s="36" t="s">
        <v>123</v>
      </c>
      <c r="B21" s="26" t="s">
        <v>107</v>
      </c>
      <c r="C21" s="4">
        <v>6204</v>
      </c>
      <c r="D21" s="4">
        <v>6012</v>
      </c>
      <c r="E21" s="4">
        <v>6284</v>
      </c>
      <c r="F21" s="4">
        <v>6626</v>
      </c>
      <c r="G21" s="4">
        <v>7664</v>
      </c>
      <c r="H21" s="4">
        <v>8185</v>
      </c>
      <c r="I21" s="4">
        <v>5114</v>
      </c>
      <c r="J21" s="4">
        <v>6799</v>
      </c>
      <c r="K21" s="4">
        <v>6988</v>
      </c>
      <c r="L21" s="5">
        <v>5751</v>
      </c>
      <c r="M21" s="5">
        <v>5592</v>
      </c>
      <c r="N21" s="5">
        <v>5538</v>
      </c>
      <c r="O21" s="21">
        <f t="shared" si="0"/>
        <v>76757</v>
      </c>
    </row>
    <row r="22" spans="1:15" ht="14.4" x14ac:dyDescent="0.3">
      <c r="A22" s="36" t="s">
        <v>122</v>
      </c>
      <c r="B22" s="26" t="s">
        <v>108</v>
      </c>
      <c r="C22" s="4">
        <v>2709</v>
      </c>
      <c r="D22" s="4">
        <v>1776</v>
      </c>
      <c r="E22" s="4">
        <v>1763</v>
      </c>
      <c r="F22" s="4">
        <v>840</v>
      </c>
      <c r="G22" s="4">
        <v>2581</v>
      </c>
      <c r="H22" s="4">
        <v>1886</v>
      </c>
      <c r="I22" s="4">
        <v>1961</v>
      </c>
      <c r="J22" s="4">
        <v>3599</v>
      </c>
      <c r="K22" s="4">
        <v>1030</v>
      </c>
      <c r="L22" s="5">
        <v>3709</v>
      </c>
      <c r="M22" s="5">
        <v>2727</v>
      </c>
      <c r="N22" s="5">
        <v>2654</v>
      </c>
      <c r="O22" s="21">
        <f t="shared" si="0"/>
        <v>27235</v>
      </c>
    </row>
    <row r="23" spans="1:15" ht="14.4" x14ac:dyDescent="0.3">
      <c r="A23" s="36" t="s">
        <v>122</v>
      </c>
      <c r="B23" s="26" t="s">
        <v>109</v>
      </c>
      <c r="C23" s="4">
        <v>301</v>
      </c>
      <c r="D23" s="4">
        <v>1110</v>
      </c>
      <c r="E23" s="4">
        <v>1664</v>
      </c>
      <c r="F23" s="4">
        <v>856</v>
      </c>
      <c r="G23" s="4">
        <v>1412</v>
      </c>
      <c r="H23" s="4">
        <v>1168</v>
      </c>
      <c r="I23" s="4">
        <v>769</v>
      </c>
      <c r="J23" s="4">
        <v>1193</v>
      </c>
      <c r="K23" s="4">
        <v>926</v>
      </c>
      <c r="L23" s="5">
        <v>1086</v>
      </c>
      <c r="M23" s="5">
        <v>1074</v>
      </c>
      <c r="N23" s="5">
        <v>1044</v>
      </c>
      <c r="O23" s="21">
        <f t="shared" si="0"/>
        <v>12603</v>
      </c>
    </row>
    <row r="24" spans="1:15" ht="14.4" x14ac:dyDescent="0.3">
      <c r="A24" s="36" t="s">
        <v>123</v>
      </c>
      <c r="B24" s="26" t="s">
        <v>46</v>
      </c>
      <c r="C24" s="4">
        <v>14003</v>
      </c>
      <c r="D24" s="4">
        <v>10439</v>
      </c>
      <c r="E24" s="4">
        <v>17152</v>
      </c>
      <c r="F24" s="4">
        <v>14007</v>
      </c>
      <c r="G24" s="4">
        <v>31756</v>
      </c>
      <c r="H24" s="4">
        <v>32327</v>
      </c>
      <c r="I24" s="4">
        <v>28188</v>
      </c>
      <c r="J24" s="4">
        <v>28474</v>
      </c>
      <c r="K24" s="4">
        <v>25599</v>
      </c>
      <c r="L24" s="5">
        <v>29735</v>
      </c>
      <c r="M24" s="5">
        <v>27826</v>
      </c>
      <c r="N24" s="5">
        <v>23593</v>
      </c>
      <c r="O24" s="21">
        <f t="shared" si="0"/>
        <v>283099</v>
      </c>
    </row>
    <row r="25" spans="1:15" ht="14.4" x14ac:dyDescent="0.3">
      <c r="A25" s="36" t="s">
        <v>121</v>
      </c>
      <c r="B25" s="26" t="s">
        <v>8</v>
      </c>
      <c r="C25" s="4">
        <v>1060</v>
      </c>
      <c r="D25" s="4">
        <v>1060</v>
      </c>
      <c r="E25" s="4">
        <v>718</v>
      </c>
      <c r="F25" s="4">
        <v>960</v>
      </c>
      <c r="G25" s="4">
        <v>1287</v>
      </c>
      <c r="H25" s="4">
        <v>1139</v>
      </c>
      <c r="I25" s="4">
        <v>880</v>
      </c>
      <c r="J25" s="4">
        <v>1440</v>
      </c>
      <c r="K25" s="4">
        <v>1507</v>
      </c>
      <c r="L25" s="5">
        <v>3018</v>
      </c>
      <c r="M25" s="5">
        <v>2837</v>
      </c>
      <c r="N25" s="5">
        <v>2763</v>
      </c>
      <c r="O25" s="21">
        <f t="shared" si="0"/>
        <v>18669</v>
      </c>
    </row>
    <row r="26" spans="1:15" ht="14.4" x14ac:dyDescent="0.3">
      <c r="A26" s="36" t="s">
        <v>123</v>
      </c>
      <c r="B26" s="26" t="s">
        <v>9</v>
      </c>
      <c r="C26" s="4">
        <v>37055</v>
      </c>
      <c r="D26" s="4">
        <v>54001</v>
      </c>
      <c r="E26" s="4">
        <v>92903</v>
      </c>
      <c r="F26" s="4">
        <v>91650</v>
      </c>
      <c r="G26" s="4">
        <v>67529</v>
      </c>
      <c r="H26" s="4">
        <v>41367</v>
      </c>
      <c r="I26" s="4">
        <v>53875</v>
      </c>
      <c r="J26" s="4">
        <v>61886</v>
      </c>
      <c r="K26" s="4">
        <v>64291</v>
      </c>
      <c r="L26" s="5">
        <v>96679</v>
      </c>
      <c r="M26" s="5">
        <v>96144</v>
      </c>
      <c r="N26" s="5">
        <v>95550</v>
      </c>
      <c r="O26" s="21">
        <f t="shared" si="0"/>
        <v>852930</v>
      </c>
    </row>
    <row r="27" spans="1:15" ht="14.4" x14ac:dyDescent="0.3">
      <c r="A27" s="36" t="s">
        <v>121</v>
      </c>
      <c r="B27" s="26" t="s">
        <v>10</v>
      </c>
      <c r="C27" s="4">
        <v>46694</v>
      </c>
      <c r="D27" s="4">
        <v>34900</v>
      </c>
      <c r="E27" s="4">
        <v>21502</v>
      </c>
      <c r="F27" s="4">
        <v>25260</v>
      </c>
      <c r="G27" s="4">
        <v>20622</v>
      </c>
      <c r="H27" s="4">
        <v>11700</v>
      </c>
      <c r="I27" s="4">
        <v>12318</v>
      </c>
      <c r="J27" s="4">
        <v>14440</v>
      </c>
      <c r="K27" s="4">
        <v>15217</v>
      </c>
      <c r="L27" s="5">
        <v>24751</v>
      </c>
      <c r="M27" s="5">
        <v>25415</v>
      </c>
      <c r="N27" s="5">
        <v>25045</v>
      </c>
      <c r="O27" s="21">
        <f t="shared" si="0"/>
        <v>277864</v>
      </c>
    </row>
    <row r="28" spans="1:15" ht="14.4" x14ac:dyDescent="0.3">
      <c r="A28" s="36" t="s">
        <v>123</v>
      </c>
      <c r="B28" s="26" t="s">
        <v>110</v>
      </c>
      <c r="C28" s="4">
        <v>672</v>
      </c>
      <c r="D28" s="4">
        <v>761</v>
      </c>
      <c r="E28" s="4">
        <v>919</v>
      </c>
      <c r="F28" s="4">
        <v>700</v>
      </c>
      <c r="G28" s="4">
        <v>1393</v>
      </c>
      <c r="H28" s="4">
        <v>1079</v>
      </c>
      <c r="I28" s="4">
        <v>848</v>
      </c>
      <c r="J28" s="4">
        <v>1599</v>
      </c>
      <c r="K28" s="4">
        <v>885</v>
      </c>
      <c r="L28" s="5">
        <v>1482</v>
      </c>
      <c r="M28" s="5">
        <v>1280</v>
      </c>
      <c r="N28" s="5">
        <v>1270</v>
      </c>
      <c r="O28" s="21">
        <f t="shared" si="0"/>
        <v>12888</v>
      </c>
    </row>
    <row r="29" spans="1:15" ht="14.4" x14ac:dyDescent="0.3">
      <c r="A29" s="36" t="s">
        <v>124</v>
      </c>
      <c r="B29" s="26" t="s">
        <v>32</v>
      </c>
      <c r="C29" s="4">
        <v>479</v>
      </c>
      <c r="D29" s="4">
        <v>6408</v>
      </c>
      <c r="E29" s="4">
        <v>2144</v>
      </c>
      <c r="F29" s="4">
        <v>2121</v>
      </c>
      <c r="G29" s="4">
        <v>1953</v>
      </c>
      <c r="H29" s="4">
        <v>1751</v>
      </c>
      <c r="I29" s="4">
        <v>738</v>
      </c>
      <c r="J29" s="4">
        <v>1936</v>
      </c>
      <c r="K29" s="4">
        <v>2100</v>
      </c>
      <c r="L29" s="5">
        <v>2240</v>
      </c>
      <c r="M29" s="5">
        <v>1404</v>
      </c>
      <c r="N29" s="5">
        <v>1391</v>
      </c>
      <c r="O29" s="21">
        <f t="shared" si="0"/>
        <v>24665</v>
      </c>
    </row>
    <row r="30" spans="1:15" ht="14.4" x14ac:dyDescent="0.3">
      <c r="A30" s="36" t="s">
        <v>124</v>
      </c>
      <c r="B30" s="26" t="s">
        <v>48</v>
      </c>
      <c r="C30" s="4">
        <v>544</v>
      </c>
      <c r="D30" s="4">
        <v>544</v>
      </c>
      <c r="E30" s="4">
        <v>1946</v>
      </c>
      <c r="F30" s="4">
        <v>1072</v>
      </c>
      <c r="G30" s="4">
        <v>1460</v>
      </c>
      <c r="H30" s="4">
        <v>1232</v>
      </c>
      <c r="I30" s="4">
        <v>2240</v>
      </c>
      <c r="J30" s="4">
        <v>2806</v>
      </c>
      <c r="K30" s="4">
        <v>2940</v>
      </c>
      <c r="L30" s="5">
        <v>4977</v>
      </c>
      <c r="M30" s="5">
        <v>4648</v>
      </c>
      <c r="N30" s="5">
        <v>4488</v>
      </c>
      <c r="O30" s="21">
        <f t="shared" si="0"/>
        <v>28897</v>
      </c>
    </row>
    <row r="31" spans="1:15" ht="14.4" x14ac:dyDescent="0.3">
      <c r="A31" s="36" t="s">
        <v>121</v>
      </c>
      <c r="B31" s="26" t="s">
        <v>111</v>
      </c>
      <c r="C31" s="4">
        <v>451</v>
      </c>
      <c r="D31" s="4">
        <v>1560</v>
      </c>
      <c r="E31" s="4">
        <v>1220</v>
      </c>
      <c r="F31" s="4">
        <v>797</v>
      </c>
      <c r="G31" s="4">
        <v>400</v>
      </c>
      <c r="H31" s="4">
        <v>487</v>
      </c>
      <c r="I31" s="4">
        <v>554</v>
      </c>
      <c r="J31" s="4">
        <v>920</v>
      </c>
      <c r="K31" s="4">
        <v>1926</v>
      </c>
      <c r="L31" s="5">
        <v>4784</v>
      </c>
      <c r="M31" s="5">
        <v>4069</v>
      </c>
      <c r="N31" s="5">
        <v>3989</v>
      </c>
      <c r="O31" s="21">
        <f t="shared" si="0"/>
        <v>21157</v>
      </c>
    </row>
    <row r="32" spans="1:15" ht="14.4" x14ac:dyDescent="0.3">
      <c r="A32" s="36" t="s">
        <v>123</v>
      </c>
      <c r="B32" s="26" t="s">
        <v>49</v>
      </c>
      <c r="C32" s="4">
        <v>985</v>
      </c>
      <c r="D32" s="4">
        <v>1595</v>
      </c>
      <c r="E32" s="4">
        <v>1204</v>
      </c>
      <c r="F32" s="4">
        <v>986</v>
      </c>
      <c r="G32" s="4">
        <v>700</v>
      </c>
      <c r="H32" s="4">
        <v>929</v>
      </c>
      <c r="I32" s="4">
        <v>577</v>
      </c>
      <c r="J32" s="4">
        <v>734</v>
      </c>
      <c r="K32" s="4">
        <v>1108</v>
      </c>
      <c r="L32" s="5">
        <v>1313</v>
      </c>
      <c r="M32" s="5">
        <v>1014</v>
      </c>
      <c r="N32" s="5">
        <v>1000</v>
      </c>
      <c r="O32" s="21">
        <f t="shared" si="0"/>
        <v>12145</v>
      </c>
    </row>
    <row r="33" spans="1:15" ht="14.4" x14ac:dyDescent="0.3">
      <c r="A33" s="36" t="s">
        <v>124</v>
      </c>
      <c r="B33" s="26" t="s">
        <v>112</v>
      </c>
      <c r="C33" s="4">
        <v>306</v>
      </c>
      <c r="D33" s="4">
        <v>180</v>
      </c>
      <c r="E33" s="4">
        <v>697</v>
      </c>
      <c r="F33" s="4">
        <v>560</v>
      </c>
      <c r="G33" s="4">
        <v>440</v>
      </c>
      <c r="H33" s="4">
        <v>640</v>
      </c>
      <c r="I33" s="4">
        <v>920</v>
      </c>
      <c r="J33" s="4">
        <v>1024</v>
      </c>
      <c r="K33" s="4">
        <v>1144</v>
      </c>
      <c r="L33" s="5">
        <v>1357</v>
      </c>
      <c r="M33" s="5">
        <v>1282</v>
      </c>
      <c r="N33" s="5">
        <v>1251</v>
      </c>
      <c r="O33" s="21">
        <f t="shared" si="0"/>
        <v>9801</v>
      </c>
    </row>
    <row r="34" spans="1:15" ht="14.4" x14ac:dyDescent="0.3">
      <c r="A34" s="36" t="s">
        <v>121</v>
      </c>
      <c r="B34" s="26" t="s">
        <v>50</v>
      </c>
      <c r="C34" s="4">
        <v>1856</v>
      </c>
      <c r="D34" s="4">
        <v>3455</v>
      </c>
      <c r="E34" s="4">
        <v>4784</v>
      </c>
      <c r="F34" s="4">
        <v>3360</v>
      </c>
      <c r="G34" s="4">
        <v>4501</v>
      </c>
      <c r="H34" s="4">
        <v>5460</v>
      </c>
      <c r="I34" s="4">
        <v>3888</v>
      </c>
      <c r="J34" s="4">
        <v>5028</v>
      </c>
      <c r="K34" s="4">
        <v>6000</v>
      </c>
      <c r="L34" s="5">
        <v>7168</v>
      </c>
      <c r="M34" s="5">
        <v>5376</v>
      </c>
      <c r="N34" s="5">
        <v>5310</v>
      </c>
      <c r="O34" s="21">
        <f t="shared" si="0"/>
        <v>56186</v>
      </c>
    </row>
    <row r="35" spans="1:15" ht="14.4" x14ac:dyDescent="0.3">
      <c r="A35" s="36" t="s">
        <v>123</v>
      </c>
      <c r="B35" s="26" t="s">
        <v>113</v>
      </c>
      <c r="C35" s="4">
        <v>688</v>
      </c>
      <c r="D35" s="4">
        <v>1144</v>
      </c>
      <c r="E35" s="4">
        <v>479</v>
      </c>
      <c r="F35" s="4">
        <v>546</v>
      </c>
      <c r="G35" s="4">
        <v>1022</v>
      </c>
      <c r="H35" s="4">
        <v>819</v>
      </c>
      <c r="I35" s="4">
        <v>336</v>
      </c>
      <c r="J35" s="4">
        <v>1176</v>
      </c>
      <c r="K35" s="4">
        <v>1045</v>
      </c>
      <c r="L35" s="5">
        <v>1136</v>
      </c>
      <c r="M35" s="5">
        <v>479</v>
      </c>
      <c r="N35" s="5">
        <v>473</v>
      </c>
      <c r="O35" s="21">
        <f t="shared" si="0"/>
        <v>9343</v>
      </c>
    </row>
    <row r="36" spans="1:15" ht="14.4" x14ac:dyDescent="0.3">
      <c r="A36" s="36" t="s">
        <v>122</v>
      </c>
      <c r="B36" s="26" t="s">
        <v>114</v>
      </c>
      <c r="C36" s="4">
        <v>16079</v>
      </c>
      <c r="D36" s="4">
        <v>14873</v>
      </c>
      <c r="E36" s="4">
        <v>37032</v>
      </c>
      <c r="F36" s="4">
        <v>22120</v>
      </c>
      <c r="G36" s="4">
        <v>35741</v>
      </c>
      <c r="H36" s="4">
        <v>33963</v>
      </c>
      <c r="I36" s="4">
        <v>30720</v>
      </c>
      <c r="J36" s="4">
        <v>6174</v>
      </c>
      <c r="K36" s="4">
        <v>17570</v>
      </c>
      <c r="L36" s="5">
        <v>3600</v>
      </c>
      <c r="M36" s="5">
        <v>3524</v>
      </c>
      <c r="N36" s="5">
        <v>3508</v>
      </c>
      <c r="O36" s="21">
        <f t="shared" si="0"/>
        <v>224904</v>
      </c>
    </row>
    <row r="37" spans="1:15" ht="14.4" x14ac:dyDescent="0.3">
      <c r="A37" s="36" t="s">
        <v>123</v>
      </c>
      <c r="B37" s="26" t="s">
        <v>115</v>
      </c>
      <c r="C37" s="4">
        <v>1840</v>
      </c>
      <c r="D37" s="4">
        <v>864</v>
      </c>
      <c r="E37" s="4">
        <v>5233</v>
      </c>
      <c r="F37" s="4">
        <v>840</v>
      </c>
      <c r="G37" s="4">
        <v>1190</v>
      </c>
      <c r="H37" s="4">
        <v>1849</v>
      </c>
      <c r="I37" s="4">
        <v>1103</v>
      </c>
      <c r="J37" s="4">
        <v>2120</v>
      </c>
      <c r="K37" s="4">
        <v>1513</v>
      </c>
      <c r="L37" s="5">
        <v>912</v>
      </c>
      <c r="M37" s="5">
        <v>900</v>
      </c>
      <c r="N37" s="5">
        <v>895</v>
      </c>
      <c r="O37" s="21">
        <f t="shared" si="0"/>
        <v>19259</v>
      </c>
    </row>
    <row r="38" spans="1:15" ht="14.4" x14ac:dyDescent="0.3">
      <c r="A38" s="36" t="s">
        <v>124</v>
      </c>
      <c r="B38" s="26" t="s">
        <v>116</v>
      </c>
      <c r="C38" s="4">
        <v>39334</v>
      </c>
      <c r="D38" s="4">
        <v>17164</v>
      </c>
      <c r="E38" s="4">
        <v>7588</v>
      </c>
      <c r="F38" s="4">
        <v>4735</v>
      </c>
      <c r="G38" s="4">
        <v>10566</v>
      </c>
      <c r="H38" s="4">
        <v>6366</v>
      </c>
      <c r="I38" s="4">
        <v>5752</v>
      </c>
      <c r="J38" s="4">
        <v>10904</v>
      </c>
      <c r="K38" s="4">
        <v>11304</v>
      </c>
      <c r="L38" s="5">
        <v>12458</v>
      </c>
      <c r="M38" s="5">
        <v>12168</v>
      </c>
      <c r="N38" s="5">
        <v>12053</v>
      </c>
      <c r="O38" s="21">
        <f t="shared" si="0"/>
        <v>150392</v>
      </c>
    </row>
    <row r="39" spans="1:15" ht="14.4" x14ac:dyDescent="0.3">
      <c r="A39" s="36" t="s">
        <v>123</v>
      </c>
      <c r="B39" s="26" t="s">
        <v>11</v>
      </c>
      <c r="C39" s="4">
        <v>3287</v>
      </c>
      <c r="D39" s="4">
        <v>3414</v>
      </c>
      <c r="E39" s="4">
        <v>4752</v>
      </c>
      <c r="F39" s="4">
        <v>2768</v>
      </c>
      <c r="G39" s="4">
        <v>2357</v>
      </c>
      <c r="H39" s="4">
        <v>2860</v>
      </c>
      <c r="I39" s="4">
        <v>2347</v>
      </c>
      <c r="J39" s="4">
        <v>3120</v>
      </c>
      <c r="K39" s="4">
        <v>3705</v>
      </c>
      <c r="L39" s="5">
        <v>4091</v>
      </c>
      <c r="M39" s="5">
        <v>4007</v>
      </c>
      <c r="N39" s="5">
        <v>3883</v>
      </c>
      <c r="O39" s="21">
        <f t="shared" si="0"/>
        <v>40591</v>
      </c>
    </row>
    <row r="40" spans="1:15" ht="14.4" x14ac:dyDescent="0.3">
      <c r="A40" s="36" t="s">
        <v>123</v>
      </c>
      <c r="B40" s="26" t="s">
        <v>12</v>
      </c>
      <c r="C40" s="4">
        <v>4206</v>
      </c>
      <c r="D40" s="4">
        <v>14794</v>
      </c>
      <c r="E40" s="4">
        <v>3707</v>
      </c>
      <c r="F40" s="4">
        <v>3311</v>
      </c>
      <c r="G40" s="4">
        <v>2207</v>
      </c>
      <c r="H40" s="4">
        <v>1722</v>
      </c>
      <c r="I40" s="4">
        <v>2030</v>
      </c>
      <c r="J40" s="4">
        <v>4355</v>
      </c>
      <c r="K40" s="4">
        <v>1135</v>
      </c>
      <c r="L40" s="5">
        <v>1459</v>
      </c>
      <c r="M40" s="5">
        <v>1414</v>
      </c>
      <c r="N40" s="5">
        <v>1377</v>
      </c>
      <c r="O40" s="21">
        <f t="shared" si="0"/>
        <v>41717</v>
      </c>
    </row>
    <row r="41" spans="1:15" ht="14.4" x14ac:dyDescent="0.3">
      <c r="A41" s="36" t="s">
        <v>121</v>
      </c>
      <c r="B41" s="26" t="s">
        <v>15</v>
      </c>
      <c r="C41" s="4">
        <v>480</v>
      </c>
      <c r="D41" s="4">
        <v>735</v>
      </c>
      <c r="E41" s="4">
        <v>568</v>
      </c>
      <c r="F41" s="4">
        <v>452</v>
      </c>
      <c r="G41" s="4">
        <v>580</v>
      </c>
      <c r="H41" s="4">
        <v>491</v>
      </c>
      <c r="I41" s="4">
        <v>671</v>
      </c>
      <c r="J41" s="4">
        <v>860</v>
      </c>
      <c r="K41" s="4">
        <v>941</v>
      </c>
      <c r="L41" s="5">
        <v>2841</v>
      </c>
      <c r="M41" s="5">
        <v>2969</v>
      </c>
      <c r="N41" s="5">
        <v>2933</v>
      </c>
      <c r="O41" s="21">
        <f t="shared" si="0"/>
        <v>14521</v>
      </c>
    </row>
    <row r="42" spans="1:15" ht="14.4" x14ac:dyDescent="0.3">
      <c r="A42" s="36" t="s">
        <v>121</v>
      </c>
      <c r="B42" s="26" t="s">
        <v>117</v>
      </c>
      <c r="C42" s="4">
        <v>320</v>
      </c>
      <c r="D42" s="4">
        <v>422</v>
      </c>
      <c r="E42" s="4">
        <v>620</v>
      </c>
      <c r="F42" s="4">
        <v>492</v>
      </c>
      <c r="G42" s="4">
        <v>624</v>
      </c>
      <c r="H42" s="4">
        <v>596</v>
      </c>
      <c r="I42" s="4">
        <v>640</v>
      </c>
      <c r="J42" s="4">
        <v>729</v>
      </c>
      <c r="K42" s="4">
        <v>842</v>
      </c>
      <c r="L42" s="5">
        <v>2090</v>
      </c>
      <c r="M42" s="5">
        <v>2111</v>
      </c>
      <c r="N42" s="5">
        <v>1945</v>
      </c>
      <c r="O42" s="21">
        <f t="shared" si="0"/>
        <v>11431</v>
      </c>
    </row>
    <row r="43" spans="1:15" ht="14.4" x14ac:dyDescent="0.3">
      <c r="A43" s="36" t="s">
        <v>121</v>
      </c>
      <c r="B43" s="26" t="s">
        <v>52</v>
      </c>
      <c r="C43" s="4">
        <v>1250</v>
      </c>
      <c r="D43" s="4">
        <v>775</v>
      </c>
      <c r="E43" s="4">
        <v>1651</v>
      </c>
      <c r="F43" s="4">
        <v>822</v>
      </c>
      <c r="G43" s="4">
        <v>578</v>
      </c>
      <c r="H43" s="4">
        <v>1564</v>
      </c>
      <c r="I43" s="4">
        <v>1134</v>
      </c>
      <c r="J43" s="4">
        <v>2352</v>
      </c>
      <c r="K43" s="4">
        <v>2274</v>
      </c>
      <c r="L43" s="5">
        <v>1309</v>
      </c>
      <c r="M43" s="5">
        <v>1309</v>
      </c>
      <c r="N43" s="5">
        <v>1286</v>
      </c>
      <c r="O43" s="21">
        <f t="shared" si="0"/>
        <v>16304</v>
      </c>
    </row>
    <row r="44" spans="1:15" ht="14.4" x14ac:dyDescent="0.3">
      <c r="A44" s="36" t="s">
        <v>123</v>
      </c>
      <c r="B44" s="26" t="s">
        <v>53</v>
      </c>
      <c r="C44" s="4">
        <v>32594</v>
      </c>
      <c r="D44" s="4">
        <v>30242</v>
      </c>
      <c r="E44" s="4">
        <v>19075</v>
      </c>
      <c r="F44" s="4">
        <v>6473</v>
      </c>
      <c r="G44" s="4">
        <v>10941</v>
      </c>
      <c r="H44" s="4">
        <v>8730</v>
      </c>
      <c r="I44" s="4">
        <v>7918</v>
      </c>
      <c r="J44" s="4">
        <v>15232</v>
      </c>
      <c r="K44" s="4">
        <v>30901</v>
      </c>
      <c r="L44" s="5">
        <v>20673</v>
      </c>
      <c r="M44" s="5">
        <v>19815</v>
      </c>
      <c r="N44" s="5">
        <v>19511</v>
      </c>
      <c r="O44" s="21">
        <f t="shared" si="0"/>
        <v>222105</v>
      </c>
    </row>
    <row r="45" spans="1:15" ht="14.4" x14ac:dyDescent="0.3">
      <c r="A45" s="36" t="s">
        <v>121</v>
      </c>
      <c r="B45" s="26" t="s">
        <v>118</v>
      </c>
      <c r="C45" s="4">
        <v>3764</v>
      </c>
      <c r="D45" s="4">
        <v>604</v>
      </c>
      <c r="E45" s="4">
        <v>1186</v>
      </c>
      <c r="F45" s="4">
        <v>468</v>
      </c>
      <c r="G45" s="4">
        <v>1913</v>
      </c>
      <c r="H45" s="4">
        <v>1003</v>
      </c>
      <c r="I45" s="4">
        <v>729</v>
      </c>
      <c r="J45" s="4">
        <v>2037</v>
      </c>
      <c r="K45" s="4">
        <v>6436</v>
      </c>
      <c r="L45" s="5">
        <v>6237</v>
      </c>
      <c r="M45" s="5">
        <v>6245</v>
      </c>
      <c r="N45" s="5">
        <v>6207</v>
      </c>
      <c r="O45" s="21">
        <f t="shared" si="0"/>
        <v>36829</v>
      </c>
    </row>
    <row r="46" spans="1:15" ht="14.4" x14ac:dyDescent="0.3">
      <c r="A46" s="36" t="s">
        <v>121</v>
      </c>
      <c r="B46" s="26" t="s">
        <v>16</v>
      </c>
      <c r="C46" s="4">
        <v>13956</v>
      </c>
      <c r="D46" s="4">
        <v>19973</v>
      </c>
      <c r="E46" s="4">
        <v>13372</v>
      </c>
      <c r="F46" s="4">
        <v>4137</v>
      </c>
      <c r="G46" s="4">
        <v>5834</v>
      </c>
      <c r="H46" s="4">
        <v>4828</v>
      </c>
      <c r="I46" s="4">
        <v>4289</v>
      </c>
      <c r="J46" s="4">
        <v>9698</v>
      </c>
      <c r="K46" s="4">
        <v>17255</v>
      </c>
      <c r="L46" s="5">
        <v>12623</v>
      </c>
      <c r="M46" s="5">
        <v>12429</v>
      </c>
      <c r="N46" s="5">
        <v>12364</v>
      </c>
      <c r="O46" s="21">
        <f t="shared" si="0"/>
        <v>130758</v>
      </c>
    </row>
    <row r="47" spans="1:15" ht="14.4" x14ac:dyDescent="0.3">
      <c r="A47" s="36" t="s">
        <v>121</v>
      </c>
      <c r="B47" s="26" t="s">
        <v>119</v>
      </c>
      <c r="C47" s="4">
        <v>78260</v>
      </c>
      <c r="D47" s="4">
        <v>41040</v>
      </c>
      <c r="E47" s="4">
        <v>17330</v>
      </c>
      <c r="F47" s="4">
        <v>12168</v>
      </c>
      <c r="G47" s="4">
        <v>24563</v>
      </c>
      <c r="H47" s="4">
        <v>10867</v>
      </c>
      <c r="I47" s="4">
        <v>8996</v>
      </c>
      <c r="J47" s="4">
        <v>19574</v>
      </c>
      <c r="K47" s="4">
        <v>43893</v>
      </c>
      <c r="L47" s="5">
        <v>21911</v>
      </c>
      <c r="M47" s="5">
        <v>21684</v>
      </c>
      <c r="N47" s="5">
        <v>21309</v>
      </c>
      <c r="O47" s="21">
        <f t="shared" si="0"/>
        <v>321595</v>
      </c>
    </row>
    <row r="48" spans="1:15" ht="14.4" x14ac:dyDescent="0.3">
      <c r="A48" s="36" t="s">
        <v>121</v>
      </c>
      <c r="B48" s="26" t="s">
        <v>120</v>
      </c>
      <c r="C48" s="4">
        <v>82715</v>
      </c>
      <c r="D48" s="4">
        <v>59180</v>
      </c>
      <c r="E48" s="4">
        <v>27176</v>
      </c>
      <c r="F48" s="4">
        <v>16989</v>
      </c>
      <c r="G48" s="4">
        <v>18758</v>
      </c>
      <c r="H48" s="4">
        <v>9936</v>
      </c>
      <c r="I48" s="4">
        <v>9344</v>
      </c>
      <c r="J48" s="4">
        <v>17479</v>
      </c>
      <c r="K48" s="4">
        <v>54186</v>
      </c>
      <c r="L48" s="5">
        <v>35547</v>
      </c>
      <c r="M48" s="5">
        <v>29346</v>
      </c>
      <c r="N48" s="5">
        <v>29193</v>
      </c>
      <c r="O48" s="21">
        <f t="shared" si="0"/>
        <v>389849</v>
      </c>
    </row>
    <row r="49" spans="1:15" ht="14.4" x14ac:dyDescent="0.3">
      <c r="A49" s="36" t="s">
        <v>121</v>
      </c>
      <c r="B49" s="26" t="s">
        <v>18</v>
      </c>
      <c r="C49" s="4">
        <v>1026</v>
      </c>
      <c r="D49" s="4">
        <v>760</v>
      </c>
      <c r="E49" s="4">
        <v>855</v>
      </c>
      <c r="F49" s="4">
        <v>599</v>
      </c>
      <c r="G49" s="4">
        <v>666</v>
      </c>
      <c r="H49" s="4">
        <v>534</v>
      </c>
      <c r="I49" s="4">
        <v>516</v>
      </c>
      <c r="J49" s="4">
        <v>625</v>
      </c>
      <c r="K49" s="4">
        <v>710</v>
      </c>
      <c r="L49" s="5">
        <v>673</v>
      </c>
      <c r="M49" s="5">
        <v>658</v>
      </c>
      <c r="N49" s="5">
        <v>603</v>
      </c>
      <c r="O49" s="21">
        <f t="shared" si="0"/>
        <v>8225</v>
      </c>
    </row>
    <row r="50" spans="1:15" ht="14.4" x14ac:dyDescent="0.3">
      <c r="A50" s="36" t="s">
        <v>121</v>
      </c>
      <c r="B50" s="26" t="s">
        <v>19</v>
      </c>
      <c r="C50" s="4">
        <v>48284</v>
      </c>
      <c r="D50" s="4">
        <v>65253</v>
      </c>
      <c r="E50" s="4">
        <v>59107</v>
      </c>
      <c r="F50" s="4">
        <v>37998</v>
      </c>
      <c r="G50" s="4">
        <v>50505</v>
      </c>
      <c r="H50" s="4">
        <v>63678</v>
      </c>
      <c r="I50" s="4">
        <v>53101</v>
      </c>
      <c r="J50" s="4">
        <v>68072</v>
      </c>
      <c r="K50" s="4">
        <v>50276</v>
      </c>
      <c r="L50" s="5">
        <v>48106</v>
      </c>
      <c r="M50" s="5">
        <v>53455</v>
      </c>
      <c r="N50" s="5">
        <v>49037</v>
      </c>
      <c r="O50" s="21">
        <f t="shared" si="0"/>
        <v>646872</v>
      </c>
    </row>
    <row r="51" spans="1:15" s="18" customFormat="1" ht="15" customHeight="1" x14ac:dyDescent="0.3">
      <c r="A51" s="39" t="s">
        <v>125</v>
      </c>
      <c r="B51" s="39"/>
      <c r="C51" s="21">
        <f t="shared" ref="C51:O51" si="1">SUM(C2:C50)</f>
        <v>725865</v>
      </c>
      <c r="D51" s="21">
        <f t="shared" si="1"/>
        <v>692515</v>
      </c>
      <c r="E51" s="21">
        <f t="shared" si="1"/>
        <v>607810</v>
      </c>
      <c r="F51" s="21">
        <f t="shared" si="1"/>
        <v>433640</v>
      </c>
      <c r="G51" s="21">
        <f t="shared" si="1"/>
        <v>535354</v>
      </c>
      <c r="H51" s="21">
        <f t="shared" si="1"/>
        <v>448550</v>
      </c>
      <c r="I51" s="21">
        <f t="shared" si="1"/>
        <v>410292</v>
      </c>
      <c r="J51" s="21">
        <f t="shared" si="1"/>
        <v>501586</v>
      </c>
      <c r="K51" s="21">
        <f t="shared" si="1"/>
        <v>581823</v>
      </c>
      <c r="L51" s="21">
        <f t="shared" si="1"/>
        <v>555536</v>
      </c>
      <c r="M51" s="21">
        <f t="shared" si="1"/>
        <v>540165</v>
      </c>
      <c r="N51" s="21">
        <f t="shared" si="1"/>
        <v>526275</v>
      </c>
      <c r="O51" s="21">
        <f t="shared" si="1"/>
        <v>6559411</v>
      </c>
    </row>
  </sheetData>
  <mergeCells count="1">
    <mergeCell ref="A51:B51"/>
  </mergeCells>
  <printOptions horizontalCentered="1"/>
  <pageMargins left="0.70866141732283472" right="0.70866141732283472" top="0.39370078740157483" bottom="0.39370078740157483" header="0" footer="0.31496062992125984"/>
  <pageSetup paperSize="9" scale="89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2019</vt:lpstr>
      <vt:lpstr>2020</vt:lpstr>
      <vt:lpstr>2021</vt:lpstr>
      <vt:lpstr>2022</vt:lpstr>
      <vt:lpstr>2023</vt:lpstr>
      <vt:lpstr>2024</vt:lpstr>
      <vt:lpstr>'2019'!Print_Area</vt:lpstr>
      <vt:lpstr>'2020'!Print_Area</vt:lpstr>
      <vt:lpstr>'2021'!Print_Area</vt:lpstr>
      <vt:lpstr>'2022'!Print_Area</vt:lpstr>
      <vt:lpstr>'2023'!Print_Area</vt:lpstr>
      <vt:lpstr>'2024'!Print_Area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zalardee</dc:creator>
  <cp:lastModifiedBy>Blue Journey</cp:lastModifiedBy>
  <cp:lastPrinted>2025-08-04T08:42:29Z</cp:lastPrinted>
  <dcterms:created xsi:type="dcterms:W3CDTF">2022-07-06T22:25:00Z</dcterms:created>
  <dcterms:modified xsi:type="dcterms:W3CDTF">2025-11-14T15:21:19Z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A030C144137D4BDF949D24125301DC88</vt:lpwstr>
  </property>
  <property fmtid="{D5CDD505-2E9C-101B-9397-08002B2CF9AE}" pid="3" name="KSOProductBuildVer">
    <vt:lpwstr>1057-11.2.0.11254</vt:lpwstr>
  </property>
</Properties>
</file>